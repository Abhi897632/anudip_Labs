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587A9C475C4AE6/Documents/"/>
    </mc:Choice>
  </mc:AlternateContent>
  <xr:revisionPtr revIDLastSave="17" documentId="8_{3DC974CE-C11E-4A32-AD35-6449FE8D2B52}" xr6:coauthVersionLast="47" xr6:coauthVersionMax="47" xr10:uidLastSave="{1D176BE7-2D56-4A84-80B8-62D186A1843C}"/>
  <bookViews>
    <workbookView xWindow="-108" yWindow="-108" windowWidth="23256" windowHeight="12456" xr2:uid="{92224D5D-2A5B-4AEA-AD03-7E0C9060E950}"/>
  </bookViews>
  <sheets>
    <sheet name="data" sheetId="1" r:id="rId1"/>
    <sheet name="FILTER(9)" sheetId="3" r:id="rId2"/>
    <sheet name="questions" sheetId="2" r:id="rId3"/>
  </sheets>
  <definedNames>
    <definedName name="_xlnm._FilterDatabase" localSheetId="1" hidden="1">'FILTER(9)'!$A$1:$J$31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2" l="1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H32" i="2" a="1"/>
  <c r="H32" i="2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I15" i="2"/>
  <c r="G11" i="2"/>
  <c r="J7" i="2"/>
  <c r="I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<sst xmlns="http://schemas.openxmlformats.org/spreadsheetml/2006/main" count="363" uniqueCount="108">
  <si>
    <t>Patient ID</t>
  </si>
  <si>
    <t>First Name</t>
  </si>
  <si>
    <t>Last Name</t>
  </si>
  <si>
    <t>Age</t>
  </si>
  <si>
    <t>Gender</t>
  </si>
  <si>
    <t>X-ray Type</t>
  </si>
  <si>
    <t>Result</t>
  </si>
  <si>
    <t>Date</t>
  </si>
  <si>
    <t>John</t>
  </si>
  <si>
    <t>Doe</t>
  </si>
  <si>
    <t>Male</t>
  </si>
  <si>
    <t>Chest</t>
  </si>
  <si>
    <t>Negative</t>
  </si>
  <si>
    <t>Jane</t>
  </si>
  <si>
    <t>Smith</t>
  </si>
  <si>
    <t>Female</t>
  </si>
  <si>
    <t>Abdomen</t>
  </si>
  <si>
    <t>Positive</t>
  </si>
  <si>
    <t>Mike</t>
  </si>
  <si>
    <t>Johnson</t>
  </si>
  <si>
    <t>Mary</t>
  </si>
  <si>
    <t>Brown</t>
  </si>
  <si>
    <t>Steve</t>
  </si>
  <si>
    <t>White</t>
  </si>
  <si>
    <t>Spine</t>
  </si>
  <si>
    <t>Susan</t>
  </si>
  <si>
    <t>Clark</t>
  </si>
  <si>
    <t>Inconclusive</t>
  </si>
  <si>
    <t>Alan</t>
  </si>
  <si>
    <t>Lewis</t>
  </si>
  <si>
    <t>Nancy</t>
  </si>
  <si>
    <t>Harris</t>
  </si>
  <si>
    <t>03/15/2024</t>
  </si>
  <si>
    <t>Tom</t>
  </si>
  <si>
    <t>Martin</t>
  </si>
  <si>
    <t>Rita</t>
  </si>
  <si>
    <t>Carter</t>
  </si>
  <si>
    <t>James</t>
  </si>
  <si>
    <t>Walker</t>
  </si>
  <si>
    <t>04/15/2024</t>
  </si>
  <si>
    <t>Emily</t>
  </si>
  <si>
    <t>Perez</t>
  </si>
  <si>
    <t>Mark</t>
  </si>
  <si>
    <t>Evans</t>
  </si>
  <si>
    <t>05/15/2024</t>
  </si>
  <si>
    <t>Sarah</t>
  </si>
  <si>
    <t>Allen</t>
  </si>
  <si>
    <t>David</t>
  </si>
  <si>
    <t>King</t>
  </si>
  <si>
    <t>06/15/2024</t>
  </si>
  <si>
    <t>Linda</t>
  </si>
  <si>
    <t>Scott</t>
  </si>
  <si>
    <t>William</t>
  </si>
  <si>
    <t>Young</t>
  </si>
  <si>
    <t>Karen</t>
  </si>
  <si>
    <t>Adams</t>
  </si>
  <si>
    <t>Paul</t>
  </si>
  <si>
    <t>Nelson</t>
  </si>
  <si>
    <t>08/15/2024</t>
  </si>
  <si>
    <t>Lisa</t>
  </si>
  <si>
    <t>Brian</t>
  </si>
  <si>
    <t>Mitchell</t>
  </si>
  <si>
    <t>Olivia</t>
  </si>
  <si>
    <t>Rodriguez</t>
  </si>
  <si>
    <t>Jack</t>
  </si>
  <si>
    <t>10/15/2024</t>
  </si>
  <si>
    <t>Julia</t>
  </si>
  <si>
    <t>Martinez</t>
  </si>
  <si>
    <t>Greg</t>
  </si>
  <si>
    <t>Thomas</t>
  </si>
  <si>
    <t>Anne</t>
  </si>
  <si>
    <t>Robinson</t>
  </si>
  <si>
    <t>Jason</t>
  </si>
  <si>
    <t>Margaret</t>
  </si>
  <si>
    <t>Davis</t>
  </si>
  <si>
    <t>12/15/2024</t>
  </si>
  <si>
    <t>Robert</t>
  </si>
  <si>
    <t>Alice</t>
  </si>
  <si>
    <t>Lee</t>
  </si>
  <si>
    <t>01/15/2025</t>
  </si>
  <si>
    <t>1. Total X-rays for Patients Under 40</t>
  </si>
  <si>
    <t>Calculate the total number of X-rays performed on patients under the age of 40.</t>
  </si>
  <si>
    <t>2. Average X-rays for Female Patients with Chest X-rays</t>
  </si>
  <si>
    <t>Find the average number of X-rays for female patients with "Chest" as the type of X-ray.</t>
  </si>
  <si>
    <t>3. Count of Chest X-rays</t>
  </si>
  <si>
    <t>Count how many "Chest" X-rays were performed.</t>
  </si>
  <si>
    <t>4. Count of Chest X-rays for Males Under 30</t>
  </si>
  <si>
    <t>Count the number of "Chest" X-rays performed for male patients under 30 years old.</t>
  </si>
  <si>
    <t>5. Count of Chest or Abdomen X-rays</t>
  </si>
  <si>
    <t>Count how many "Chest" or "Abdomen" X-rays were performed.</t>
  </si>
  <si>
    <t>6. Determine X-ray Result (Normal/Abnormal)</t>
  </si>
  <si>
    <t>Determine if an X-ray result was "Normal" or "Abnormal" based on the result column (e.g., if the result is "Positive", return "Abnormal", otherwise return "Normal").</t>
  </si>
  <si>
    <t>7. Categorize X-ray Results</t>
  </si>
  <si>
    <t>Categorize the type of X-ray result as:</t>
  </si>
  <si>
    <t>"Normal" for "Negative"</t>
  </si>
  <si>
    <t>"Abnormal" for "Positive"</t>
  </si>
  <si>
    <t>"Further Tests Required" for "Inconclusive"</t>
  </si>
  <si>
    <t>8. List All X-ray Types</t>
  </si>
  <si>
    <t>List all the different types of X-rays performed in your dataset.</t>
  </si>
  <si>
    <t>9. Filter Data for Patients Over 50 with Abnormal Results</t>
  </si>
  <si>
    <t>Show only the rows where the patient age is greater than 50 and the X-ray result is "Abnormal".</t>
  </si>
  <si>
    <t>10. Extract X-ray Type (e.g., Chest)</t>
  </si>
  <si>
    <t>Extract the first part of the X-ray type (e.g., for "Chest X-ray", return "Chest").</t>
  </si>
  <si>
    <t>11. Combine Patient Information</t>
  </si>
  <si>
    <t>Combine the patient's first name, last name, and age into one cell in the format: "John Doe, 30".</t>
  </si>
  <si>
    <t>Condition</t>
  </si>
  <si>
    <t>categories</t>
  </si>
  <si>
    <t xml:space="preserve">Full Name + 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</si>
</sst>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2" borderId="1" xfId="0" applyFill="1" applyBorder="1"/>
    <xf numFmtId="0" fontId="0" fillId="3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4F4E-B397-48F3-944A-F2E9F8DC0C70}">
  <dimension ref="A1:K31"/>
  <sheetViews>
    <sheetView tabSelected="1" workbookViewId="0">
      <selection activeCell="J1" sqref="J1:K1"/>
    </sheetView>
  </sheetViews>
  <sheetFormatPr defaultRowHeight="14.4" x14ac:dyDescent="0.3"/>
  <cols>
    <col min="2" max="2" width="13.44140625" customWidth="1"/>
    <col min="6" max="6" width="13.77734375" customWidth="1"/>
    <col min="8" max="8" width="10.88671875" customWidth="1"/>
    <col min="9" max="9" width="11.21875" customWidth="1"/>
    <col min="10" max="10" width="20.6640625" customWidth="1"/>
    <col min="11" max="11" width="17.4414062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105</v>
      </c>
      <c r="J1" s="9" t="s">
        <v>106</v>
      </c>
      <c r="K1" s="9" t="s">
        <v>107</v>
      </c>
    </row>
    <row r="2" spans="1:11" x14ac:dyDescent="0.3">
      <c r="A2" s="2">
        <v>1</v>
      </c>
      <c r="B2" s="2" t="s">
        <v>8</v>
      </c>
      <c r="C2" s="2" t="s">
        <v>9</v>
      </c>
      <c r="D2" s="2">
        <v>30</v>
      </c>
      <c r="E2" s="2" t="s">
        <v>10</v>
      </c>
      <c r="F2" s="2" t="s">
        <v>11</v>
      </c>
      <c r="G2" s="2" t="s">
        <v>12</v>
      </c>
      <c r="H2" s="3">
        <v>45292</v>
      </c>
      <c r="I2" t="str">
        <f>IF(G2="Positive","Abnormal","Normal")</f>
        <v>Normal</v>
      </c>
      <c r="J2" s="8" t="str">
        <f>IF(G2="Negative","Normal",IF(G2="Positive","Abnormal","further test Required"))</f>
        <v>Normal</v>
      </c>
      <c r="K2" s="8" t="str">
        <f>CONCATENATE(B2," ",data!C2,",",data!D2)</f>
        <v>John Doe,30</v>
      </c>
    </row>
    <row r="3" spans="1:11" x14ac:dyDescent="0.3">
      <c r="A3" s="2">
        <v>2</v>
      </c>
      <c r="B3" s="2" t="s">
        <v>13</v>
      </c>
      <c r="C3" s="2" t="s">
        <v>14</v>
      </c>
      <c r="D3" s="2">
        <v>42</v>
      </c>
      <c r="E3" s="2" t="s">
        <v>15</v>
      </c>
      <c r="F3" s="2" t="s">
        <v>16</v>
      </c>
      <c r="G3" s="2" t="s">
        <v>17</v>
      </c>
      <c r="H3" s="3">
        <v>45352</v>
      </c>
      <c r="I3" t="str">
        <f t="shared" ref="I3:I33" si="0">IF(G3="Positive","Abnormal","Normal")</f>
        <v>Abnormal</v>
      </c>
      <c r="J3" s="8" t="str">
        <f t="shared" ref="J3:J31" si="1">IF(G3="Negative","Normal",IF(G3="Positive","Abnormal","further test Required"))</f>
        <v>Abnormal</v>
      </c>
      <c r="K3" s="8" t="str">
        <f>CONCATENATE(B3," ",data!C3,",",data!D3)</f>
        <v>Jane Smith,42</v>
      </c>
    </row>
    <row r="4" spans="1:11" x14ac:dyDescent="0.3">
      <c r="A4" s="2">
        <v>3</v>
      </c>
      <c r="B4" s="2" t="s">
        <v>18</v>
      </c>
      <c r="C4" s="2" t="s">
        <v>19</v>
      </c>
      <c r="D4" s="2">
        <v>22</v>
      </c>
      <c r="E4" s="2" t="s">
        <v>10</v>
      </c>
      <c r="F4" s="2" t="s">
        <v>11</v>
      </c>
      <c r="G4" s="2" t="s">
        <v>17</v>
      </c>
      <c r="H4" s="3">
        <v>45413</v>
      </c>
      <c r="I4" t="str">
        <f t="shared" si="0"/>
        <v>Abnormal</v>
      </c>
      <c r="J4" s="8" t="str">
        <f t="shared" si="1"/>
        <v>Abnormal</v>
      </c>
      <c r="K4" s="8" t="str">
        <f>CONCATENATE(B4," ",data!C4,",",data!D4)</f>
        <v>Mike Johnson,22</v>
      </c>
    </row>
    <row r="5" spans="1:11" x14ac:dyDescent="0.3">
      <c r="A5" s="2">
        <v>4</v>
      </c>
      <c r="B5" s="2" t="s">
        <v>20</v>
      </c>
      <c r="C5" s="2" t="s">
        <v>21</v>
      </c>
      <c r="D5" s="2">
        <v>60</v>
      </c>
      <c r="E5" s="2" t="s">
        <v>15</v>
      </c>
      <c r="F5" s="2" t="s">
        <v>11</v>
      </c>
      <c r="G5" s="2" t="s">
        <v>12</v>
      </c>
      <c r="H5" s="3">
        <v>45293</v>
      </c>
      <c r="I5" t="str">
        <f t="shared" si="0"/>
        <v>Normal</v>
      </c>
      <c r="J5" s="8" t="str">
        <f t="shared" si="1"/>
        <v>Normal</v>
      </c>
      <c r="K5" s="8" t="str">
        <f>CONCATENATE(B5," ",data!C5,",",data!D5)</f>
        <v>Mary Brown,60</v>
      </c>
    </row>
    <row r="6" spans="1:11" x14ac:dyDescent="0.3">
      <c r="A6" s="2">
        <v>5</v>
      </c>
      <c r="B6" s="2" t="s">
        <v>22</v>
      </c>
      <c r="C6" s="2" t="s">
        <v>23</v>
      </c>
      <c r="D6" s="2">
        <v>35</v>
      </c>
      <c r="E6" s="2" t="s">
        <v>10</v>
      </c>
      <c r="F6" s="2" t="s">
        <v>24</v>
      </c>
      <c r="G6" s="2" t="s">
        <v>12</v>
      </c>
      <c r="H6" s="3">
        <v>45475</v>
      </c>
      <c r="I6" t="str">
        <f t="shared" si="0"/>
        <v>Normal</v>
      </c>
      <c r="J6" s="8" t="str">
        <f t="shared" si="1"/>
        <v>Normal</v>
      </c>
      <c r="K6" s="8" t="str">
        <f>CONCATENATE(B6," ",data!C6,",",data!D6)</f>
        <v>Steve White,35</v>
      </c>
    </row>
    <row r="7" spans="1:11" ht="28.8" x14ac:dyDescent="0.3">
      <c r="A7" s="2">
        <v>6</v>
      </c>
      <c r="B7" s="2" t="s">
        <v>25</v>
      </c>
      <c r="C7" s="2" t="s">
        <v>26</v>
      </c>
      <c r="D7" s="2">
        <v>50</v>
      </c>
      <c r="E7" s="2" t="s">
        <v>15</v>
      </c>
      <c r="F7" s="2" t="s">
        <v>16</v>
      </c>
      <c r="G7" s="2" t="s">
        <v>27</v>
      </c>
      <c r="H7" s="3">
        <v>45567</v>
      </c>
      <c r="I7" t="str">
        <f t="shared" si="0"/>
        <v>Normal</v>
      </c>
      <c r="J7" s="8" t="str">
        <f t="shared" si="1"/>
        <v>further test Required</v>
      </c>
      <c r="K7" s="8" t="str">
        <f>CONCATENATE(B7," ",data!C7,",",data!D7)</f>
        <v>Susan Clark,50</v>
      </c>
    </row>
    <row r="8" spans="1:11" x14ac:dyDescent="0.3">
      <c r="A8" s="2">
        <v>7</v>
      </c>
      <c r="B8" s="2" t="s">
        <v>28</v>
      </c>
      <c r="C8" s="2" t="s">
        <v>29</v>
      </c>
      <c r="D8" s="2">
        <v>28</v>
      </c>
      <c r="E8" s="2" t="s">
        <v>10</v>
      </c>
      <c r="F8" s="2" t="s">
        <v>11</v>
      </c>
      <c r="G8" s="2" t="s">
        <v>12</v>
      </c>
      <c r="H8" s="3">
        <v>45294</v>
      </c>
      <c r="I8" t="str">
        <f t="shared" si="0"/>
        <v>Normal</v>
      </c>
      <c r="J8" s="8" t="str">
        <f t="shared" si="1"/>
        <v>Normal</v>
      </c>
      <c r="K8" s="8" t="str">
        <f>CONCATENATE(B8," ",data!C8,",",data!D8)</f>
        <v>Alan Lewis,28</v>
      </c>
    </row>
    <row r="9" spans="1:11" x14ac:dyDescent="0.3">
      <c r="A9" s="2">
        <v>8</v>
      </c>
      <c r="B9" s="2" t="s">
        <v>30</v>
      </c>
      <c r="C9" s="2" t="s">
        <v>31</v>
      </c>
      <c r="D9" s="2">
        <v>45</v>
      </c>
      <c r="E9" s="2" t="s">
        <v>15</v>
      </c>
      <c r="F9" s="2" t="s">
        <v>11</v>
      </c>
      <c r="G9" s="2" t="s">
        <v>17</v>
      </c>
      <c r="H9" s="2" t="s">
        <v>32</v>
      </c>
      <c r="I9" t="str">
        <f t="shared" si="0"/>
        <v>Abnormal</v>
      </c>
      <c r="J9" s="8" t="str">
        <f t="shared" si="1"/>
        <v>Abnormal</v>
      </c>
      <c r="K9" s="8" t="str">
        <f>CONCATENATE(B9," ",data!C9,",",data!D9)</f>
        <v>Nancy Harris,45</v>
      </c>
    </row>
    <row r="10" spans="1:11" x14ac:dyDescent="0.3">
      <c r="A10" s="2">
        <v>9</v>
      </c>
      <c r="B10" s="2" t="s">
        <v>33</v>
      </c>
      <c r="C10" s="2" t="s">
        <v>34</v>
      </c>
      <c r="D10" s="2">
        <v>33</v>
      </c>
      <c r="E10" s="2" t="s">
        <v>10</v>
      </c>
      <c r="F10" s="2" t="s">
        <v>16</v>
      </c>
      <c r="G10" s="2" t="s">
        <v>12</v>
      </c>
      <c r="H10" s="3">
        <v>45295</v>
      </c>
      <c r="I10" t="str">
        <f t="shared" si="0"/>
        <v>Normal</v>
      </c>
      <c r="J10" s="8" t="str">
        <f t="shared" si="1"/>
        <v>Normal</v>
      </c>
      <c r="K10" s="8" t="str">
        <f>CONCATENATE(B10," ",data!C10,",",data!D10)</f>
        <v>Tom Martin,33</v>
      </c>
    </row>
    <row r="11" spans="1:11" x14ac:dyDescent="0.3">
      <c r="A11" s="2">
        <v>10</v>
      </c>
      <c r="B11" s="2" t="s">
        <v>35</v>
      </c>
      <c r="C11" s="2" t="s">
        <v>36</v>
      </c>
      <c r="D11" s="2">
        <v>56</v>
      </c>
      <c r="E11" s="2" t="s">
        <v>15</v>
      </c>
      <c r="F11" s="2" t="s">
        <v>24</v>
      </c>
      <c r="G11" s="2" t="s">
        <v>17</v>
      </c>
      <c r="H11" s="3">
        <v>45569</v>
      </c>
      <c r="I11" t="str">
        <f t="shared" si="0"/>
        <v>Abnormal</v>
      </c>
      <c r="J11" s="8" t="str">
        <f t="shared" si="1"/>
        <v>Abnormal</v>
      </c>
      <c r="K11" s="8" t="str">
        <f>CONCATENATE(B11," ",data!C11,",",data!D11)</f>
        <v>Rita Carter,56</v>
      </c>
    </row>
    <row r="12" spans="1:11" x14ac:dyDescent="0.3">
      <c r="A12" s="2">
        <v>11</v>
      </c>
      <c r="B12" s="2" t="s">
        <v>37</v>
      </c>
      <c r="C12" s="2" t="s">
        <v>38</v>
      </c>
      <c r="D12" s="2">
        <v>29</v>
      </c>
      <c r="E12" s="2" t="s">
        <v>10</v>
      </c>
      <c r="F12" s="2" t="s">
        <v>11</v>
      </c>
      <c r="G12" s="2" t="s">
        <v>12</v>
      </c>
      <c r="H12" s="2" t="s">
        <v>39</v>
      </c>
      <c r="I12" t="str">
        <f t="shared" si="0"/>
        <v>Normal</v>
      </c>
      <c r="J12" s="8" t="str">
        <f t="shared" si="1"/>
        <v>Normal</v>
      </c>
      <c r="K12" s="8" t="str">
        <f>CONCATENATE(B12," ",data!C12,",",data!D12)</f>
        <v>James Walker,29</v>
      </c>
    </row>
    <row r="13" spans="1:11" x14ac:dyDescent="0.3">
      <c r="A13" s="2">
        <v>12</v>
      </c>
      <c r="B13" s="2" t="s">
        <v>40</v>
      </c>
      <c r="C13" s="2" t="s">
        <v>41</v>
      </c>
      <c r="D13" s="2">
        <v>40</v>
      </c>
      <c r="E13" s="2" t="s">
        <v>15</v>
      </c>
      <c r="F13" s="2" t="s">
        <v>16</v>
      </c>
      <c r="G13" s="2" t="s">
        <v>17</v>
      </c>
      <c r="H13" s="3">
        <v>45296</v>
      </c>
      <c r="I13" t="str">
        <f t="shared" si="0"/>
        <v>Abnormal</v>
      </c>
      <c r="J13" s="8" t="str">
        <f t="shared" si="1"/>
        <v>Abnormal</v>
      </c>
      <c r="K13" s="8" t="str">
        <f>CONCATENATE(B13," ",data!C13,",",data!D13)</f>
        <v>Emily Perez,40</v>
      </c>
    </row>
    <row r="14" spans="1:11" ht="28.8" x14ac:dyDescent="0.3">
      <c r="A14" s="2">
        <v>13</v>
      </c>
      <c r="B14" s="2" t="s">
        <v>42</v>
      </c>
      <c r="C14" s="2" t="s">
        <v>43</v>
      </c>
      <c r="D14" s="2">
        <v>65</v>
      </c>
      <c r="E14" s="2" t="s">
        <v>10</v>
      </c>
      <c r="F14" s="2" t="s">
        <v>11</v>
      </c>
      <c r="G14" s="2" t="s">
        <v>27</v>
      </c>
      <c r="H14" s="2" t="s">
        <v>44</v>
      </c>
      <c r="I14" t="str">
        <f t="shared" si="0"/>
        <v>Normal</v>
      </c>
      <c r="J14" s="8" t="str">
        <f t="shared" si="1"/>
        <v>further test Required</v>
      </c>
      <c r="K14" s="8" t="str">
        <f>CONCATENATE(B14," ",data!C14,",",data!D14)</f>
        <v>Mark Evans,65</v>
      </c>
    </row>
    <row r="15" spans="1:11" x14ac:dyDescent="0.3">
      <c r="A15" s="2">
        <v>14</v>
      </c>
      <c r="B15" s="2" t="s">
        <v>45</v>
      </c>
      <c r="C15" s="2" t="s">
        <v>46</v>
      </c>
      <c r="D15" s="2">
        <v>38</v>
      </c>
      <c r="E15" s="2" t="s">
        <v>15</v>
      </c>
      <c r="F15" s="2" t="s">
        <v>24</v>
      </c>
      <c r="G15" s="2" t="s">
        <v>12</v>
      </c>
      <c r="H15" s="3">
        <v>45297</v>
      </c>
      <c r="I15" t="str">
        <f t="shared" si="0"/>
        <v>Normal</v>
      </c>
      <c r="J15" s="8" t="str">
        <f t="shared" si="1"/>
        <v>Normal</v>
      </c>
      <c r="K15" s="8" t="str">
        <f>CONCATENATE(B15," ",data!C15,",",data!D15)</f>
        <v>Sarah Allen,38</v>
      </c>
    </row>
    <row r="16" spans="1:11" x14ac:dyDescent="0.3">
      <c r="A16" s="2">
        <v>15</v>
      </c>
      <c r="B16" s="2" t="s">
        <v>47</v>
      </c>
      <c r="C16" s="2" t="s">
        <v>48</v>
      </c>
      <c r="D16" s="2">
        <v>72</v>
      </c>
      <c r="E16" s="2" t="s">
        <v>10</v>
      </c>
      <c r="F16" s="2" t="s">
        <v>16</v>
      </c>
      <c r="G16" s="2" t="s">
        <v>17</v>
      </c>
      <c r="H16" s="2" t="s">
        <v>49</v>
      </c>
      <c r="I16" t="str">
        <f t="shared" si="0"/>
        <v>Abnormal</v>
      </c>
      <c r="J16" s="8" t="str">
        <f t="shared" si="1"/>
        <v>Abnormal</v>
      </c>
      <c r="K16" s="8" t="str">
        <f>CONCATENATE(B16," ",data!C16,",",data!D16)</f>
        <v>David King,72</v>
      </c>
    </row>
    <row r="17" spans="1:11" x14ac:dyDescent="0.3">
      <c r="A17" s="2">
        <v>16</v>
      </c>
      <c r="B17" s="2" t="s">
        <v>50</v>
      </c>
      <c r="C17" s="2" t="s">
        <v>51</v>
      </c>
      <c r="D17" s="2">
        <v>47</v>
      </c>
      <c r="E17" s="2" t="s">
        <v>15</v>
      </c>
      <c r="F17" s="2" t="s">
        <v>11</v>
      </c>
      <c r="G17" s="2" t="s">
        <v>12</v>
      </c>
      <c r="H17" s="3">
        <v>45298</v>
      </c>
      <c r="I17" t="str">
        <f t="shared" si="0"/>
        <v>Normal</v>
      </c>
      <c r="J17" s="8" t="str">
        <f t="shared" si="1"/>
        <v>Normal</v>
      </c>
      <c r="K17" s="8" t="str">
        <f>CONCATENATE(B17," ",data!C17,",",data!D17)</f>
        <v>Linda Scott,47</v>
      </c>
    </row>
    <row r="18" spans="1:11" x14ac:dyDescent="0.3">
      <c r="A18" s="2">
        <v>17</v>
      </c>
      <c r="B18" s="2" t="s">
        <v>52</v>
      </c>
      <c r="C18" s="2" t="s">
        <v>53</v>
      </c>
      <c r="D18" s="2">
        <v>26</v>
      </c>
      <c r="E18" s="2" t="s">
        <v>10</v>
      </c>
      <c r="F18" s="2" t="s">
        <v>11</v>
      </c>
      <c r="G18" s="2" t="s">
        <v>17</v>
      </c>
      <c r="H18" s="3">
        <v>45572</v>
      </c>
      <c r="I18" t="str">
        <f t="shared" si="0"/>
        <v>Abnormal</v>
      </c>
      <c r="J18" s="8" t="str">
        <f t="shared" si="1"/>
        <v>Abnormal</v>
      </c>
      <c r="K18" s="8" t="str">
        <f>CONCATENATE(B18," ",data!C18,",",data!D18)</f>
        <v>William Young,26</v>
      </c>
    </row>
    <row r="19" spans="1:11" x14ac:dyDescent="0.3">
      <c r="A19" s="2">
        <v>18</v>
      </c>
      <c r="B19" s="2" t="s">
        <v>54</v>
      </c>
      <c r="C19" s="2" t="s">
        <v>55</v>
      </c>
      <c r="D19" s="2">
        <v>51</v>
      </c>
      <c r="E19" s="2" t="s">
        <v>15</v>
      </c>
      <c r="F19" s="2" t="s">
        <v>24</v>
      </c>
      <c r="G19" s="2" t="s">
        <v>12</v>
      </c>
      <c r="H19" s="3">
        <v>45299</v>
      </c>
      <c r="I19" t="str">
        <f t="shared" si="0"/>
        <v>Normal</v>
      </c>
      <c r="J19" s="8" t="str">
        <f t="shared" si="1"/>
        <v>Normal</v>
      </c>
      <c r="K19" s="8" t="str">
        <f>CONCATENATE(B19," ",data!C19,",",data!D19)</f>
        <v>Karen Adams,51</v>
      </c>
    </row>
    <row r="20" spans="1:11" x14ac:dyDescent="0.3">
      <c r="A20" s="2">
        <v>19</v>
      </c>
      <c r="B20" s="2" t="s">
        <v>56</v>
      </c>
      <c r="C20" s="2" t="s">
        <v>57</v>
      </c>
      <c r="D20" s="2">
        <v>53</v>
      </c>
      <c r="E20" s="2" t="s">
        <v>10</v>
      </c>
      <c r="F20" s="2" t="s">
        <v>16</v>
      </c>
      <c r="G20" s="2" t="s">
        <v>17</v>
      </c>
      <c r="H20" s="2" t="s">
        <v>58</v>
      </c>
      <c r="I20" t="str">
        <f t="shared" si="0"/>
        <v>Abnormal</v>
      </c>
      <c r="J20" s="8" t="str">
        <f t="shared" si="1"/>
        <v>Abnormal</v>
      </c>
      <c r="K20" s="8" t="str">
        <f>CONCATENATE(B20," ",data!C20,",",data!D20)</f>
        <v>Paul Nelson,53</v>
      </c>
    </row>
    <row r="21" spans="1:11" x14ac:dyDescent="0.3">
      <c r="A21" s="2">
        <v>20</v>
      </c>
      <c r="B21" s="2" t="s">
        <v>59</v>
      </c>
      <c r="C21" s="2" t="s">
        <v>36</v>
      </c>
      <c r="D21" s="2">
        <v>44</v>
      </c>
      <c r="E21" s="2" t="s">
        <v>15</v>
      </c>
      <c r="F21" s="2" t="s">
        <v>11</v>
      </c>
      <c r="G21" s="2" t="s">
        <v>12</v>
      </c>
      <c r="H21" s="3">
        <v>45300</v>
      </c>
      <c r="I21" t="str">
        <f t="shared" si="0"/>
        <v>Normal</v>
      </c>
      <c r="J21" s="8" t="str">
        <f t="shared" si="1"/>
        <v>Normal</v>
      </c>
      <c r="K21" s="8" t="str">
        <f>CONCATENATE(B21," ",data!C21,",",data!D21)</f>
        <v>Lisa Carter,44</v>
      </c>
    </row>
    <row r="22" spans="1:11" x14ac:dyDescent="0.3">
      <c r="A22" s="2">
        <v>21</v>
      </c>
      <c r="B22" s="2" t="s">
        <v>60</v>
      </c>
      <c r="C22" s="2" t="s">
        <v>61</v>
      </c>
      <c r="D22" s="2">
        <v>29</v>
      </c>
      <c r="E22" s="2" t="s">
        <v>10</v>
      </c>
      <c r="F22" s="2" t="s">
        <v>16</v>
      </c>
      <c r="G22" s="2" t="s">
        <v>12</v>
      </c>
      <c r="H22" s="3">
        <v>45574</v>
      </c>
      <c r="I22" t="str">
        <f t="shared" si="0"/>
        <v>Normal</v>
      </c>
      <c r="J22" s="8" t="str">
        <f t="shared" si="1"/>
        <v>Normal</v>
      </c>
      <c r="K22" s="8" t="str">
        <f>CONCATENATE(B22," ",data!C22,",",data!D22)</f>
        <v>Brian Mitchell,29</v>
      </c>
    </row>
    <row r="23" spans="1:11" ht="28.8" x14ac:dyDescent="0.3">
      <c r="A23" s="2">
        <v>22</v>
      </c>
      <c r="B23" s="2" t="s">
        <v>62</v>
      </c>
      <c r="C23" s="2" t="s">
        <v>63</v>
      </c>
      <c r="D23" s="2">
        <v>62</v>
      </c>
      <c r="E23" s="2" t="s">
        <v>15</v>
      </c>
      <c r="F23" s="2" t="s">
        <v>11</v>
      </c>
      <c r="G23" s="2" t="s">
        <v>17</v>
      </c>
      <c r="H23" s="3">
        <v>45301</v>
      </c>
      <c r="I23" t="str">
        <f t="shared" si="0"/>
        <v>Abnormal</v>
      </c>
      <c r="J23" s="8" t="str">
        <f t="shared" si="1"/>
        <v>Abnormal</v>
      </c>
      <c r="K23" s="8" t="str">
        <f>CONCATENATE(B23," ",data!C23,",",data!D23)</f>
        <v>Olivia Rodriguez,62</v>
      </c>
    </row>
    <row r="24" spans="1:11" ht="28.8" x14ac:dyDescent="0.3">
      <c r="A24" s="2">
        <v>23</v>
      </c>
      <c r="B24" s="2" t="s">
        <v>64</v>
      </c>
      <c r="C24" s="2" t="s">
        <v>43</v>
      </c>
      <c r="D24" s="2">
        <v>36</v>
      </c>
      <c r="E24" s="2" t="s">
        <v>10</v>
      </c>
      <c r="F24" s="2" t="s">
        <v>24</v>
      </c>
      <c r="G24" s="2" t="s">
        <v>27</v>
      </c>
      <c r="H24" s="2" t="s">
        <v>65</v>
      </c>
      <c r="I24" t="str">
        <f t="shared" si="0"/>
        <v>Normal</v>
      </c>
      <c r="J24" s="8" t="str">
        <f t="shared" si="1"/>
        <v>further test Required</v>
      </c>
      <c r="K24" s="8" t="str">
        <f>CONCATENATE(B24," ",data!C24,",",data!D24)</f>
        <v>Jack Evans,36</v>
      </c>
    </row>
    <row r="25" spans="1:11" x14ac:dyDescent="0.3">
      <c r="A25" s="2">
        <v>24</v>
      </c>
      <c r="B25" s="2" t="s">
        <v>66</v>
      </c>
      <c r="C25" s="2" t="s">
        <v>67</v>
      </c>
      <c r="D25" s="2">
        <v>53</v>
      </c>
      <c r="E25" s="2" t="s">
        <v>15</v>
      </c>
      <c r="F25" s="2" t="s">
        <v>16</v>
      </c>
      <c r="G25" s="2" t="s">
        <v>17</v>
      </c>
      <c r="H25" s="3">
        <v>45302</v>
      </c>
      <c r="I25" t="str">
        <f t="shared" si="0"/>
        <v>Abnormal</v>
      </c>
      <c r="J25" s="8" t="str">
        <f t="shared" si="1"/>
        <v>Abnormal</v>
      </c>
      <c r="K25" s="8" t="str">
        <f>CONCATENATE(B25," ",data!C25,",",data!D25)</f>
        <v>Julia Martinez,53</v>
      </c>
    </row>
    <row r="26" spans="1:11" x14ac:dyDescent="0.3">
      <c r="A26" s="2">
        <v>25</v>
      </c>
      <c r="B26" s="2" t="s">
        <v>68</v>
      </c>
      <c r="C26" s="2" t="s">
        <v>69</v>
      </c>
      <c r="D26" s="2">
        <v>31</v>
      </c>
      <c r="E26" s="2" t="s">
        <v>10</v>
      </c>
      <c r="F26" s="2" t="s">
        <v>11</v>
      </c>
      <c r="G26" s="2" t="s">
        <v>12</v>
      </c>
      <c r="H26" s="3">
        <v>45576</v>
      </c>
      <c r="I26" t="str">
        <f t="shared" si="0"/>
        <v>Normal</v>
      </c>
      <c r="J26" s="8" t="str">
        <f t="shared" si="1"/>
        <v>Normal</v>
      </c>
      <c r="K26" s="8" t="str">
        <f>CONCATENATE(B26," ",data!C26,",",data!D26)</f>
        <v>Greg Thomas,31</v>
      </c>
    </row>
    <row r="27" spans="1:11" ht="28.8" x14ac:dyDescent="0.3">
      <c r="A27" s="2">
        <v>26</v>
      </c>
      <c r="B27" s="2" t="s">
        <v>70</v>
      </c>
      <c r="C27" s="2" t="s">
        <v>71</v>
      </c>
      <c r="D27" s="2">
        <v>40</v>
      </c>
      <c r="E27" s="2" t="s">
        <v>15</v>
      </c>
      <c r="F27" s="2" t="s">
        <v>16</v>
      </c>
      <c r="G27" s="2" t="s">
        <v>27</v>
      </c>
      <c r="H27" s="3">
        <v>45303</v>
      </c>
      <c r="I27" t="str">
        <f t="shared" si="0"/>
        <v>Normal</v>
      </c>
      <c r="J27" s="8" t="str">
        <f t="shared" si="1"/>
        <v>further test Required</v>
      </c>
      <c r="K27" s="8" t="str">
        <f>CONCATENATE(B27," ",data!C27,",",data!D27)</f>
        <v>Anne Robinson,40</v>
      </c>
    </row>
    <row r="28" spans="1:11" x14ac:dyDescent="0.3">
      <c r="A28" s="2">
        <v>27</v>
      </c>
      <c r="B28" s="2" t="s">
        <v>72</v>
      </c>
      <c r="C28" s="2" t="s">
        <v>26</v>
      </c>
      <c r="D28" s="2">
        <v>28</v>
      </c>
      <c r="E28" s="2" t="s">
        <v>10</v>
      </c>
      <c r="F28" s="2" t="s">
        <v>24</v>
      </c>
      <c r="G28" s="2" t="s">
        <v>12</v>
      </c>
      <c r="H28" s="3">
        <v>45485</v>
      </c>
      <c r="I28" t="str">
        <f t="shared" si="0"/>
        <v>Normal</v>
      </c>
      <c r="J28" s="8" t="str">
        <f t="shared" si="1"/>
        <v>Normal</v>
      </c>
      <c r="K28" s="8" t="str">
        <f>CONCATENATE(B28," ",data!C28,",",data!D28)</f>
        <v>Jason Clark,28</v>
      </c>
    </row>
    <row r="29" spans="1:11" x14ac:dyDescent="0.3">
      <c r="A29" s="2">
        <v>28</v>
      </c>
      <c r="B29" s="2" t="s">
        <v>73</v>
      </c>
      <c r="C29" s="2" t="s">
        <v>74</v>
      </c>
      <c r="D29" s="2">
        <v>63</v>
      </c>
      <c r="E29" s="2" t="s">
        <v>15</v>
      </c>
      <c r="F29" s="2" t="s">
        <v>11</v>
      </c>
      <c r="G29" s="2" t="s">
        <v>17</v>
      </c>
      <c r="H29" s="2" t="s">
        <v>75</v>
      </c>
      <c r="I29" t="str">
        <f t="shared" si="0"/>
        <v>Abnormal</v>
      </c>
      <c r="J29" s="8" t="str">
        <f t="shared" si="1"/>
        <v>Abnormal</v>
      </c>
      <c r="K29" s="8" t="str">
        <f>CONCATENATE(B29," ",data!C29,",",data!D29)</f>
        <v>Margaret Davis,63</v>
      </c>
    </row>
    <row r="30" spans="1:11" x14ac:dyDescent="0.3">
      <c r="A30" s="2">
        <v>29</v>
      </c>
      <c r="B30" s="2" t="s">
        <v>76</v>
      </c>
      <c r="C30" s="2" t="s">
        <v>31</v>
      </c>
      <c r="D30" s="2">
        <v>50</v>
      </c>
      <c r="E30" s="2" t="s">
        <v>10</v>
      </c>
      <c r="F30" s="2" t="s">
        <v>16</v>
      </c>
      <c r="G30" s="2" t="s">
        <v>12</v>
      </c>
      <c r="H30" s="3">
        <v>45658</v>
      </c>
      <c r="I30" t="str">
        <f t="shared" si="0"/>
        <v>Normal</v>
      </c>
      <c r="J30" s="8" t="str">
        <f t="shared" si="1"/>
        <v>Normal</v>
      </c>
      <c r="K30" s="8" t="str">
        <f>CONCATENATE(B30," ",data!C30,",",data!D30)</f>
        <v>Robert Harris,50</v>
      </c>
    </row>
    <row r="31" spans="1:11" x14ac:dyDescent="0.3">
      <c r="A31" s="2">
        <v>30</v>
      </c>
      <c r="B31" s="2" t="s">
        <v>77</v>
      </c>
      <c r="C31" s="2" t="s">
        <v>78</v>
      </c>
      <c r="D31" s="2">
        <v>45</v>
      </c>
      <c r="E31" s="2" t="s">
        <v>15</v>
      </c>
      <c r="F31" s="2" t="s">
        <v>24</v>
      </c>
      <c r="G31" s="2" t="s">
        <v>17</v>
      </c>
      <c r="H31" s="2" t="s">
        <v>79</v>
      </c>
      <c r="I31" t="str">
        <f t="shared" si="0"/>
        <v>Abnormal</v>
      </c>
      <c r="J31" s="8" t="str">
        <f t="shared" si="1"/>
        <v>Abnormal</v>
      </c>
      <c r="K31" s="8" t="str">
        <f>CONCATENATE(B31," ",data!C31,",",data!D31)</f>
        <v>Alice Lee,45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77A5-7244-43FB-89DA-A5244BADFE3C}">
  <sheetPr filterMode="1"/>
  <dimension ref="A1:K31"/>
  <sheetViews>
    <sheetView workbookViewId="0">
      <selection activeCell="L38" sqref="L38"/>
    </sheetView>
  </sheetViews>
  <sheetFormatPr defaultRowHeight="14.4" x14ac:dyDescent="0.3"/>
  <cols>
    <col min="2" max="2" width="13.44140625" customWidth="1"/>
    <col min="6" max="6" width="13.77734375" customWidth="1"/>
    <col min="8" max="8" width="10.88671875" customWidth="1"/>
    <col min="9" max="9" width="11.21875" customWidth="1"/>
    <col min="10" max="10" width="20.6640625" customWidth="1"/>
    <col min="11" max="11" width="17.4414062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105</v>
      </c>
      <c r="J1" s="1" t="s">
        <v>106</v>
      </c>
      <c r="K1" s="1" t="s">
        <v>107</v>
      </c>
    </row>
    <row r="2" spans="1:11" hidden="1" x14ac:dyDescent="0.3">
      <c r="A2" s="2">
        <v>1</v>
      </c>
      <c r="B2" s="2" t="s">
        <v>8</v>
      </c>
      <c r="C2" s="2" t="s">
        <v>9</v>
      </c>
      <c r="D2" s="2">
        <v>30</v>
      </c>
      <c r="E2" s="2" t="s">
        <v>10</v>
      </c>
      <c r="F2" s="2" t="s">
        <v>11</v>
      </c>
      <c r="G2" s="2" t="s">
        <v>12</v>
      </c>
      <c r="H2" s="3">
        <v>45292</v>
      </c>
      <c r="I2" t="str">
        <f>IF(G2="Positive","Abnormal","Normal")</f>
        <v>Normal</v>
      </c>
      <c r="J2" t="str">
        <f>IF(G2="Negative","Normal",IF(G2="Positive","Abnormal","further test Required"))</f>
        <v>Normal</v>
      </c>
      <c r="K2" t="str">
        <f>CONCATENATE(B2," ",data!C2,",",data!D2)</f>
        <v>John Doe,30</v>
      </c>
    </row>
    <row r="3" spans="1:11" hidden="1" x14ac:dyDescent="0.3">
      <c r="A3" s="2">
        <v>2</v>
      </c>
      <c r="B3" s="2" t="s">
        <v>13</v>
      </c>
      <c r="C3" s="2" t="s">
        <v>14</v>
      </c>
      <c r="D3" s="2">
        <v>42</v>
      </c>
      <c r="E3" s="2" t="s">
        <v>15</v>
      </c>
      <c r="F3" s="2" t="s">
        <v>16</v>
      </c>
      <c r="G3" s="2" t="s">
        <v>17</v>
      </c>
      <c r="H3" s="3">
        <v>45352</v>
      </c>
      <c r="I3" t="str">
        <f t="shared" ref="I3:I33" si="0">IF(G3="Positive","Abnormal","Normal")</f>
        <v>Abnormal</v>
      </c>
      <c r="J3" t="str">
        <f t="shared" ref="J3:J31" si="1">IF(G3="Negative","Normal",IF(G3="Positive","Abnormal","further test Required"))</f>
        <v>Abnormal</v>
      </c>
      <c r="K3" t="str">
        <f>CONCATENATE(B3," ",data!C3,",",data!D3)</f>
        <v>Jane Smith,42</v>
      </c>
    </row>
    <row r="4" spans="1:11" hidden="1" x14ac:dyDescent="0.3">
      <c r="A4" s="2">
        <v>3</v>
      </c>
      <c r="B4" s="2" t="s">
        <v>18</v>
      </c>
      <c r="C4" s="2" t="s">
        <v>19</v>
      </c>
      <c r="D4" s="2">
        <v>22</v>
      </c>
      <c r="E4" s="2" t="s">
        <v>10</v>
      </c>
      <c r="F4" s="2" t="s">
        <v>11</v>
      </c>
      <c r="G4" s="2" t="s">
        <v>17</v>
      </c>
      <c r="H4" s="3">
        <v>45413</v>
      </c>
      <c r="I4" t="str">
        <f t="shared" si="0"/>
        <v>Abnormal</v>
      </c>
      <c r="J4" t="str">
        <f t="shared" si="1"/>
        <v>Abnormal</v>
      </c>
      <c r="K4" t="str">
        <f>CONCATENATE(B4," ",data!C4,",",data!D4)</f>
        <v>Mike Johnson,22</v>
      </c>
    </row>
    <row r="5" spans="1:11" hidden="1" x14ac:dyDescent="0.3">
      <c r="A5" s="2">
        <v>4</v>
      </c>
      <c r="B5" s="2" t="s">
        <v>20</v>
      </c>
      <c r="C5" s="2" t="s">
        <v>21</v>
      </c>
      <c r="D5" s="2">
        <v>60</v>
      </c>
      <c r="E5" s="2" t="s">
        <v>15</v>
      </c>
      <c r="F5" s="2" t="s">
        <v>11</v>
      </c>
      <c r="G5" s="2" t="s">
        <v>12</v>
      </c>
      <c r="H5" s="3">
        <v>45293</v>
      </c>
      <c r="I5" t="str">
        <f t="shared" si="0"/>
        <v>Normal</v>
      </c>
      <c r="J5" t="str">
        <f t="shared" si="1"/>
        <v>Normal</v>
      </c>
      <c r="K5" t="str">
        <f>CONCATENATE(B5," ",data!C5,",",data!D5)</f>
        <v>Mary Brown,60</v>
      </c>
    </row>
    <row r="6" spans="1:11" hidden="1" x14ac:dyDescent="0.3">
      <c r="A6" s="2">
        <v>5</v>
      </c>
      <c r="B6" s="2" t="s">
        <v>22</v>
      </c>
      <c r="C6" s="2" t="s">
        <v>23</v>
      </c>
      <c r="D6" s="2">
        <v>35</v>
      </c>
      <c r="E6" s="2" t="s">
        <v>10</v>
      </c>
      <c r="F6" s="2" t="s">
        <v>24</v>
      </c>
      <c r="G6" s="2" t="s">
        <v>12</v>
      </c>
      <c r="H6" s="3">
        <v>45475</v>
      </c>
      <c r="I6" t="str">
        <f t="shared" si="0"/>
        <v>Normal</v>
      </c>
      <c r="J6" t="str">
        <f t="shared" si="1"/>
        <v>Normal</v>
      </c>
      <c r="K6" t="str">
        <f>CONCATENATE(B6," ",data!C6,",",data!D6)</f>
        <v>Steve White,35</v>
      </c>
    </row>
    <row r="7" spans="1:11" ht="28.8" hidden="1" x14ac:dyDescent="0.3">
      <c r="A7" s="2">
        <v>6</v>
      </c>
      <c r="B7" s="2" t="s">
        <v>25</v>
      </c>
      <c r="C7" s="2" t="s">
        <v>26</v>
      </c>
      <c r="D7" s="2">
        <v>50</v>
      </c>
      <c r="E7" s="2" t="s">
        <v>15</v>
      </c>
      <c r="F7" s="2" t="s">
        <v>16</v>
      </c>
      <c r="G7" s="2" t="s">
        <v>27</v>
      </c>
      <c r="H7" s="3">
        <v>45567</v>
      </c>
      <c r="I7" t="str">
        <f t="shared" si="0"/>
        <v>Normal</v>
      </c>
      <c r="J7" t="str">
        <f t="shared" si="1"/>
        <v>further test Required</v>
      </c>
      <c r="K7" t="str">
        <f>CONCATENATE(B7," ",data!C7,",",data!D7)</f>
        <v>Susan Clark,50</v>
      </c>
    </row>
    <row r="8" spans="1:11" hidden="1" x14ac:dyDescent="0.3">
      <c r="A8" s="2">
        <v>7</v>
      </c>
      <c r="B8" s="2" t="s">
        <v>28</v>
      </c>
      <c r="C8" s="2" t="s">
        <v>29</v>
      </c>
      <c r="D8" s="2">
        <v>28</v>
      </c>
      <c r="E8" s="2" t="s">
        <v>10</v>
      </c>
      <c r="F8" s="2" t="s">
        <v>11</v>
      </c>
      <c r="G8" s="2" t="s">
        <v>12</v>
      </c>
      <c r="H8" s="3">
        <v>45294</v>
      </c>
      <c r="I8" t="str">
        <f t="shared" si="0"/>
        <v>Normal</v>
      </c>
      <c r="J8" t="str">
        <f t="shared" si="1"/>
        <v>Normal</v>
      </c>
      <c r="K8" t="str">
        <f>CONCATENATE(B8," ",data!C8,",",data!D8)</f>
        <v>Alan Lewis,28</v>
      </c>
    </row>
    <row r="9" spans="1:11" hidden="1" x14ac:dyDescent="0.3">
      <c r="A9" s="2">
        <v>8</v>
      </c>
      <c r="B9" s="2" t="s">
        <v>30</v>
      </c>
      <c r="C9" s="2" t="s">
        <v>31</v>
      </c>
      <c r="D9" s="2">
        <v>45</v>
      </c>
      <c r="E9" s="2" t="s">
        <v>15</v>
      </c>
      <c r="F9" s="2" t="s">
        <v>11</v>
      </c>
      <c r="G9" s="2" t="s">
        <v>17</v>
      </c>
      <c r="H9" s="2" t="s">
        <v>32</v>
      </c>
      <c r="I9" t="str">
        <f t="shared" si="0"/>
        <v>Abnormal</v>
      </c>
      <c r="J9" t="str">
        <f t="shared" si="1"/>
        <v>Abnormal</v>
      </c>
      <c r="K9" t="str">
        <f>CONCATENATE(B9," ",data!C9,",",data!D9)</f>
        <v>Nancy Harris,45</v>
      </c>
    </row>
    <row r="10" spans="1:11" hidden="1" x14ac:dyDescent="0.3">
      <c r="A10" s="2">
        <v>9</v>
      </c>
      <c r="B10" s="2" t="s">
        <v>33</v>
      </c>
      <c r="C10" s="2" t="s">
        <v>34</v>
      </c>
      <c r="D10" s="2">
        <v>33</v>
      </c>
      <c r="E10" s="2" t="s">
        <v>10</v>
      </c>
      <c r="F10" s="2" t="s">
        <v>16</v>
      </c>
      <c r="G10" s="2" t="s">
        <v>12</v>
      </c>
      <c r="H10" s="3">
        <v>45295</v>
      </c>
      <c r="I10" t="str">
        <f t="shared" si="0"/>
        <v>Normal</v>
      </c>
      <c r="J10" t="str">
        <f t="shared" si="1"/>
        <v>Normal</v>
      </c>
      <c r="K10" t="str">
        <f>CONCATENATE(B10," ",data!C10,",",data!D10)</f>
        <v>Tom Martin,33</v>
      </c>
    </row>
    <row r="11" spans="1:11" x14ac:dyDescent="0.3">
      <c r="A11" s="2">
        <v>10</v>
      </c>
      <c r="B11" s="2" t="s">
        <v>35</v>
      </c>
      <c r="C11" s="2" t="s">
        <v>36</v>
      </c>
      <c r="D11" s="2">
        <v>56</v>
      </c>
      <c r="E11" s="2" t="s">
        <v>15</v>
      </c>
      <c r="F11" s="2" t="s">
        <v>24</v>
      </c>
      <c r="G11" s="2" t="s">
        <v>17</v>
      </c>
      <c r="H11" s="3">
        <v>45569</v>
      </c>
      <c r="I11" t="str">
        <f t="shared" si="0"/>
        <v>Abnormal</v>
      </c>
      <c r="J11" t="str">
        <f t="shared" si="1"/>
        <v>Abnormal</v>
      </c>
      <c r="K11" t="str">
        <f>CONCATENATE(B11," ",data!C11,",",data!D11)</f>
        <v>Rita Carter,56</v>
      </c>
    </row>
    <row r="12" spans="1:11" hidden="1" x14ac:dyDescent="0.3">
      <c r="A12" s="2">
        <v>11</v>
      </c>
      <c r="B12" s="2" t="s">
        <v>37</v>
      </c>
      <c r="C12" s="2" t="s">
        <v>38</v>
      </c>
      <c r="D12" s="2">
        <v>29</v>
      </c>
      <c r="E12" s="2" t="s">
        <v>10</v>
      </c>
      <c r="F12" s="2" t="s">
        <v>11</v>
      </c>
      <c r="G12" s="2" t="s">
        <v>12</v>
      </c>
      <c r="H12" s="2" t="s">
        <v>39</v>
      </c>
      <c r="I12" t="str">
        <f t="shared" si="0"/>
        <v>Normal</v>
      </c>
      <c r="J12" t="str">
        <f t="shared" si="1"/>
        <v>Normal</v>
      </c>
      <c r="K12" t="str">
        <f>CONCATENATE(B12," ",data!C12,",",data!D12)</f>
        <v>James Walker,29</v>
      </c>
    </row>
    <row r="13" spans="1:11" hidden="1" x14ac:dyDescent="0.3">
      <c r="A13" s="2">
        <v>12</v>
      </c>
      <c r="B13" s="2" t="s">
        <v>40</v>
      </c>
      <c r="C13" s="2" t="s">
        <v>41</v>
      </c>
      <c r="D13" s="2">
        <v>40</v>
      </c>
      <c r="E13" s="2" t="s">
        <v>15</v>
      </c>
      <c r="F13" s="2" t="s">
        <v>16</v>
      </c>
      <c r="G13" s="2" t="s">
        <v>17</v>
      </c>
      <c r="H13" s="3">
        <v>45296</v>
      </c>
      <c r="I13" t="str">
        <f t="shared" si="0"/>
        <v>Abnormal</v>
      </c>
      <c r="J13" t="str">
        <f t="shared" si="1"/>
        <v>Abnormal</v>
      </c>
      <c r="K13" t="str">
        <f>CONCATENATE(B13," ",data!C13,",",data!D13)</f>
        <v>Emily Perez,40</v>
      </c>
    </row>
    <row r="14" spans="1:11" ht="28.8" hidden="1" x14ac:dyDescent="0.3">
      <c r="A14" s="2">
        <v>13</v>
      </c>
      <c r="B14" s="2" t="s">
        <v>42</v>
      </c>
      <c r="C14" s="2" t="s">
        <v>43</v>
      </c>
      <c r="D14" s="2">
        <v>65</v>
      </c>
      <c r="E14" s="2" t="s">
        <v>10</v>
      </c>
      <c r="F14" s="2" t="s">
        <v>11</v>
      </c>
      <c r="G14" s="2" t="s">
        <v>27</v>
      </c>
      <c r="H14" s="2" t="s">
        <v>44</v>
      </c>
      <c r="I14" t="str">
        <f t="shared" si="0"/>
        <v>Normal</v>
      </c>
      <c r="J14" t="str">
        <f t="shared" si="1"/>
        <v>further test Required</v>
      </c>
      <c r="K14" t="str">
        <f>CONCATENATE(B14," ",data!C14,",",data!D14)</f>
        <v>Mark Evans,65</v>
      </c>
    </row>
    <row r="15" spans="1:11" hidden="1" x14ac:dyDescent="0.3">
      <c r="A15" s="2">
        <v>14</v>
      </c>
      <c r="B15" s="2" t="s">
        <v>45</v>
      </c>
      <c r="C15" s="2" t="s">
        <v>46</v>
      </c>
      <c r="D15" s="2">
        <v>38</v>
      </c>
      <c r="E15" s="2" t="s">
        <v>15</v>
      </c>
      <c r="F15" s="2" t="s">
        <v>24</v>
      </c>
      <c r="G15" s="2" t="s">
        <v>12</v>
      </c>
      <c r="H15" s="3">
        <v>45297</v>
      </c>
      <c r="I15" t="str">
        <f t="shared" si="0"/>
        <v>Normal</v>
      </c>
      <c r="J15" t="str">
        <f t="shared" si="1"/>
        <v>Normal</v>
      </c>
      <c r="K15" t="str">
        <f>CONCATENATE(B15," ",data!C15,",",data!D15)</f>
        <v>Sarah Allen,38</v>
      </c>
    </row>
    <row r="16" spans="1:11" x14ac:dyDescent="0.3">
      <c r="A16" s="2">
        <v>15</v>
      </c>
      <c r="B16" s="2" t="s">
        <v>47</v>
      </c>
      <c r="C16" s="2" t="s">
        <v>48</v>
      </c>
      <c r="D16" s="2">
        <v>72</v>
      </c>
      <c r="E16" s="2" t="s">
        <v>10</v>
      </c>
      <c r="F16" s="2" t="s">
        <v>16</v>
      </c>
      <c r="G16" s="2" t="s">
        <v>17</v>
      </c>
      <c r="H16" s="2" t="s">
        <v>49</v>
      </c>
      <c r="I16" t="str">
        <f t="shared" si="0"/>
        <v>Abnormal</v>
      </c>
      <c r="J16" t="str">
        <f t="shared" si="1"/>
        <v>Abnormal</v>
      </c>
      <c r="K16" t="str">
        <f>CONCATENATE(B16," ",data!C16,",",data!D16)</f>
        <v>David King,72</v>
      </c>
    </row>
    <row r="17" spans="1:11" hidden="1" x14ac:dyDescent="0.3">
      <c r="A17" s="2">
        <v>16</v>
      </c>
      <c r="B17" s="2" t="s">
        <v>50</v>
      </c>
      <c r="C17" s="2" t="s">
        <v>51</v>
      </c>
      <c r="D17" s="2">
        <v>47</v>
      </c>
      <c r="E17" s="2" t="s">
        <v>15</v>
      </c>
      <c r="F17" s="2" t="s">
        <v>11</v>
      </c>
      <c r="G17" s="2" t="s">
        <v>12</v>
      </c>
      <c r="H17" s="3">
        <v>45298</v>
      </c>
      <c r="I17" t="str">
        <f t="shared" si="0"/>
        <v>Normal</v>
      </c>
      <c r="J17" t="str">
        <f t="shared" si="1"/>
        <v>Normal</v>
      </c>
      <c r="K17" t="str">
        <f>CONCATENATE(B17," ",data!C17,",",data!D17)</f>
        <v>Linda Scott,47</v>
      </c>
    </row>
    <row r="18" spans="1:11" hidden="1" x14ac:dyDescent="0.3">
      <c r="A18" s="2">
        <v>17</v>
      </c>
      <c r="B18" s="2" t="s">
        <v>52</v>
      </c>
      <c r="C18" s="2" t="s">
        <v>53</v>
      </c>
      <c r="D18" s="2">
        <v>26</v>
      </c>
      <c r="E18" s="2" t="s">
        <v>10</v>
      </c>
      <c r="F18" s="2" t="s">
        <v>11</v>
      </c>
      <c r="G18" s="2" t="s">
        <v>17</v>
      </c>
      <c r="H18" s="3">
        <v>45572</v>
      </c>
      <c r="I18" t="str">
        <f t="shared" si="0"/>
        <v>Abnormal</v>
      </c>
      <c r="J18" t="str">
        <f t="shared" si="1"/>
        <v>Abnormal</v>
      </c>
      <c r="K18" t="str">
        <f>CONCATENATE(B18," ",data!C18,",",data!D18)</f>
        <v>William Young,26</v>
      </c>
    </row>
    <row r="19" spans="1:11" hidden="1" x14ac:dyDescent="0.3">
      <c r="A19" s="2">
        <v>18</v>
      </c>
      <c r="B19" s="2" t="s">
        <v>54</v>
      </c>
      <c r="C19" s="2" t="s">
        <v>55</v>
      </c>
      <c r="D19" s="2">
        <v>51</v>
      </c>
      <c r="E19" s="2" t="s">
        <v>15</v>
      </c>
      <c r="F19" s="2" t="s">
        <v>24</v>
      </c>
      <c r="G19" s="2" t="s">
        <v>12</v>
      </c>
      <c r="H19" s="3">
        <v>45299</v>
      </c>
      <c r="I19" t="str">
        <f t="shared" si="0"/>
        <v>Normal</v>
      </c>
      <c r="J19" t="str">
        <f t="shared" si="1"/>
        <v>Normal</v>
      </c>
      <c r="K19" t="str">
        <f>CONCATENATE(B19," ",data!C19,",",data!D19)</f>
        <v>Karen Adams,51</v>
      </c>
    </row>
    <row r="20" spans="1:11" x14ac:dyDescent="0.3">
      <c r="A20" s="2">
        <v>19</v>
      </c>
      <c r="B20" s="2" t="s">
        <v>56</v>
      </c>
      <c r="C20" s="2" t="s">
        <v>57</v>
      </c>
      <c r="D20" s="2">
        <v>53</v>
      </c>
      <c r="E20" s="2" t="s">
        <v>10</v>
      </c>
      <c r="F20" s="2" t="s">
        <v>16</v>
      </c>
      <c r="G20" s="2" t="s">
        <v>17</v>
      </c>
      <c r="H20" s="2" t="s">
        <v>58</v>
      </c>
      <c r="I20" t="str">
        <f t="shared" si="0"/>
        <v>Abnormal</v>
      </c>
      <c r="J20" t="str">
        <f t="shared" si="1"/>
        <v>Abnormal</v>
      </c>
      <c r="K20" t="str">
        <f>CONCATENATE(B20," ",data!C20,",",data!D20)</f>
        <v>Paul Nelson,53</v>
      </c>
    </row>
    <row r="21" spans="1:11" hidden="1" x14ac:dyDescent="0.3">
      <c r="A21" s="2">
        <v>20</v>
      </c>
      <c r="B21" s="2" t="s">
        <v>59</v>
      </c>
      <c r="C21" s="2" t="s">
        <v>36</v>
      </c>
      <c r="D21" s="2">
        <v>44</v>
      </c>
      <c r="E21" s="2" t="s">
        <v>15</v>
      </c>
      <c r="F21" s="2" t="s">
        <v>11</v>
      </c>
      <c r="G21" s="2" t="s">
        <v>12</v>
      </c>
      <c r="H21" s="3">
        <v>45300</v>
      </c>
      <c r="I21" t="str">
        <f t="shared" si="0"/>
        <v>Normal</v>
      </c>
      <c r="J21" t="str">
        <f t="shared" si="1"/>
        <v>Normal</v>
      </c>
      <c r="K21" t="str">
        <f>CONCATENATE(B21," ",data!C21,",",data!D21)</f>
        <v>Lisa Carter,44</v>
      </c>
    </row>
    <row r="22" spans="1:11" hidden="1" x14ac:dyDescent="0.3">
      <c r="A22" s="2">
        <v>21</v>
      </c>
      <c r="B22" s="2" t="s">
        <v>60</v>
      </c>
      <c r="C22" s="2" t="s">
        <v>61</v>
      </c>
      <c r="D22" s="2">
        <v>29</v>
      </c>
      <c r="E22" s="2" t="s">
        <v>10</v>
      </c>
      <c r="F22" s="2" t="s">
        <v>16</v>
      </c>
      <c r="G22" s="2" t="s">
        <v>12</v>
      </c>
      <c r="H22" s="3">
        <v>45574</v>
      </c>
      <c r="I22" t="str">
        <f t="shared" si="0"/>
        <v>Normal</v>
      </c>
      <c r="J22" t="str">
        <f t="shared" si="1"/>
        <v>Normal</v>
      </c>
      <c r="K22" t="str">
        <f>CONCATENATE(B22," ",data!C22,",",data!D22)</f>
        <v>Brian Mitchell,29</v>
      </c>
    </row>
    <row r="23" spans="1:11" ht="28.8" x14ac:dyDescent="0.3">
      <c r="A23" s="2">
        <v>22</v>
      </c>
      <c r="B23" s="2" t="s">
        <v>62</v>
      </c>
      <c r="C23" s="2" t="s">
        <v>63</v>
      </c>
      <c r="D23" s="2">
        <v>62</v>
      </c>
      <c r="E23" s="2" t="s">
        <v>15</v>
      </c>
      <c r="F23" s="2" t="s">
        <v>11</v>
      </c>
      <c r="G23" s="2" t="s">
        <v>17</v>
      </c>
      <c r="H23" s="3">
        <v>45301</v>
      </c>
      <c r="I23" t="str">
        <f t="shared" si="0"/>
        <v>Abnormal</v>
      </c>
      <c r="J23" t="str">
        <f t="shared" si="1"/>
        <v>Abnormal</v>
      </c>
      <c r="K23" t="str">
        <f>CONCATENATE(B23," ",data!C23,",",data!D23)</f>
        <v>Olivia Rodriguez,62</v>
      </c>
    </row>
    <row r="24" spans="1:11" ht="28.8" hidden="1" x14ac:dyDescent="0.3">
      <c r="A24" s="2">
        <v>23</v>
      </c>
      <c r="B24" s="2" t="s">
        <v>64</v>
      </c>
      <c r="C24" s="2" t="s">
        <v>43</v>
      </c>
      <c r="D24" s="2">
        <v>36</v>
      </c>
      <c r="E24" s="2" t="s">
        <v>10</v>
      </c>
      <c r="F24" s="2" t="s">
        <v>24</v>
      </c>
      <c r="G24" s="2" t="s">
        <v>27</v>
      </c>
      <c r="H24" s="2" t="s">
        <v>65</v>
      </c>
      <c r="I24" t="str">
        <f t="shared" si="0"/>
        <v>Normal</v>
      </c>
      <c r="J24" t="str">
        <f t="shared" si="1"/>
        <v>further test Required</v>
      </c>
      <c r="K24" t="str">
        <f>CONCATENATE(B24," ",data!C24,",",data!D24)</f>
        <v>Jack Evans,36</v>
      </c>
    </row>
    <row r="25" spans="1:11" x14ac:dyDescent="0.3">
      <c r="A25" s="2">
        <v>24</v>
      </c>
      <c r="B25" s="2" t="s">
        <v>66</v>
      </c>
      <c r="C25" s="2" t="s">
        <v>67</v>
      </c>
      <c r="D25" s="2">
        <v>53</v>
      </c>
      <c r="E25" s="2" t="s">
        <v>15</v>
      </c>
      <c r="F25" s="2" t="s">
        <v>16</v>
      </c>
      <c r="G25" s="2" t="s">
        <v>17</v>
      </c>
      <c r="H25" s="3">
        <v>45302</v>
      </c>
      <c r="I25" t="str">
        <f t="shared" si="0"/>
        <v>Abnormal</v>
      </c>
      <c r="J25" t="str">
        <f t="shared" si="1"/>
        <v>Abnormal</v>
      </c>
      <c r="K25" t="str">
        <f>CONCATENATE(B25," ",data!C25,",",data!D25)</f>
        <v>Julia Martinez,53</v>
      </c>
    </row>
    <row r="26" spans="1:11" hidden="1" x14ac:dyDescent="0.3">
      <c r="A26" s="2">
        <v>25</v>
      </c>
      <c r="B26" s="2" t="s">
        <v>68</v>
      </c>
      <c r="C26" s="2" t="s">
        <v>69</v>
      </c>
      <c r="D26" s="2">
        <v>31</v>
      </c>
      <c r="E26" s="2" t="s">
        <v>10</v>
      </c>
      <c r="F26" s="2" t="s">
        <v>11</v>
      </c>
      <c r="G26" s="2" t="s">
        <v>12</v>
      </c>
      <c r="H26" s="3">
        <v>45576</v>
      </c>
      <c r="I26" t="str">
        <f t="shared" si="0"/>
        <v>Normal</v>
      </c>
      <c r="J26" t="str">
        <f t="shared" si="1"/>
        <v>Normal</v>
      </c>
      <c r="K26" t="str">
        <f>CONCATENATE(B26," ",data!C26,",",data!D26)</f>
        <v>Greg Thomas,31</v>
      </c>
    </row>
    <row r="27" spans="1:11" ht="28.8" hidden="1" x14ac:dyDescent="0.3">
      <c r="A27" s="2">
        <v>26</v>
      </c>
      <c r="B27" s="2" t="s">
        <v>70</v>
      </c>
      <c r="C27" s="2" t="s">
        <v>71</v>
      </c>
      <c r="D27" s="2">
        <v>40</v>
      </c>
      <c r="E27" s="2" t="s">
        <v>15</v>
      </c>
      <c r="F27" s="2" t="s">
        <v>16</v>
      </c>
      <c r="G27" s="2" t="s">
        <v>27</v>
      </c>
      <c r="H27" s="3">
        <v>45303</v>
      </c>
      <c r="I27" t="str">
        <f t="shared" si="0"/>
        <v>Normal</v>
      </c>
      <c r="J27" t="str">
        <f t="shared" si="1"/>
        <v>further test Required</v>
      </c>
      <c r="K27" t="str">
        <f>CONCATENATE(B27," ",data!C27,",",data!D27)</f>
        <v>Anne Robinson,40</v>
      </c>
    </row>
    <row r="28" spans="1:11" hidden="1" x14ac:dyDescent="0.3">
      <c r="A28" s="2">
        <v>27</v>
      </c>
      <c r="B28" s="2" t="s">
        <v>72</v>
      </c>
      <c r="C28" s="2" t="s">
        <v>26</v>
      </c>
      <c r="D28" s="2">
        <v>28</v>
      </c>
      <c r="E28" s="2" t="s">
        <v>10</v>
      </c>
      <c r="F28" s="2" t="s">
        <v>24</v>
      </c>
      <c r="G28" s="2" t="s">
        <v>12</v>
      </c>
      <c r="H28" s="3">
        <v>45485</v>
      </c>
      <c r="I28" t="str">
        <f t="shared" si="0"/>
        <v>Normal</v>
      </c>
      <c r="J28" t="str">
        <f t="shared" si="1"/>
        <v>Normal</v>
      </c>
      <c r="K28" t="str">
        <f>CONCATENATE(B28," ",data!C28,",",data!D28)</f>
        <v>Jason Clark,28</v>
      </c>
    </row>
    <row r="29" spans="1:11" x14ac:dyDescent="0.3">
      <c r="A29" s="2">
        <v>28</v>
      </c>
      <c r="B29" s="2" t="s">
        <v>73</v>
      </c>
      <c r="C29" s="2" t="s">
        <v>74</v>
      </c>
      <c r="D29" s="2">
        <v>63</v>
      </c>
      <c r="E29" s="2" t="s">
        <v>15</v>
      </c>
      <c r="F29" s="2" t="s">
        <v>11</v>
      </c>
      <c r="G29" s="2" t="s">
        <v>17</v>
      </c>
      <c r="H29" s="2" t="s">
        <v>75</v>
      </c>
      <c r="I29" t="str">
        <f t="shared" si="0"/>
        <v>Abnormal</v>
      </c>
      <c r="J29" t="str">
        <f t="shared" si="1"/>
        <v>Abnormal</v>
      </c>
      <c r="K29" t="str">
        <f>CONCATENATE(B29," ",data!C29,",",data!D29)</f>
        <v>Margaret Davis,63</v>
      </c>
    </row>
    <row r="30" spans="1:11" hidden="1" x14ac:dyDescent="0.3">
      <c r="A30" s="2">
        <v>29</v>
      </c>
      <c r="B30" s="2" t="s">
        <v>76</v>
      </c>
      <c r="C30" s="2" t="s">
        <v>31</v>
      </c>
      <c r="D30" s="2">
        <v>50</v>
      </c>
      <c r="E30" s="2" t="s">
        <v>10</v>
      </c>
      <c r="F30" s="2" t="s">
        <v>16</v>
      </c>
      <c r="G30" s="2" t="s">
        <v>12</v>
      </c>
      <c r="H30" s="3">
        <v>45658</v>
      </c>
      <c r="I30" t="str">
        <f t="shared" si="0"/>
        <v>Normal</v>
      </c>
      <c r="J30" t="str">
        <f t="shared" si="1"/>
        <v>Normal</v>
      </c>
      <c r="K30" t="str">
        <f>CONCATENATE(B30," ",data!C30,",",data!D30)</f>
        <v>Robert Harris,50</v>
      </c>
    </row>
    <row r="31" spans="1:11" hidden="1" x14ac:dyDescent="0.3">
      <c r="A31" s="2">
        <v>30</v>
      </c>
      <c r="B31" s="2" t="s">
        <v>77</v>
      </c>
      <c r="C31" s="2" t="s">
        <v>78</v>
      </c>
      <c r="D31" s="2">
        <v>45</v>
      </c>
      <c r="E31" s="2" t="s">
        <v>15</v>
      </c>
      <c r="F31" s="2" t="s">
        <v>24</v>
      </c>
      <c r="G31" s="2" t="s">
        <v>17</v>
      </c>
      <c r="H31" s="2" t="s">
        <v>79</v>
      </c>
      <c r="I31" t="str">
        <f t="shared" si="0"/>
        <v>Abnormal</v>
      </c>
      <c r="J31" t="str">
        <f t="shared" si="1"/>
        <v>Abnormal</v>
      </c>
      <c r="K31" t="str">
        <f>CONCATENATE(B31," ",data!C31,",",data!D31)</f>
        <v>Alice Lee,45</v>
      </c>
    </row>
  </sheetData>
  <autoFilter ref="A1:J31" xr:uid="{2E0777A5-7244-43FB-89DA-A5244BADFE3C}">
    <filterColumn colId="3">
      <customFilters>
        <customFilter operator="greaterThan" val="50"/>
      </customFilters>
    </filterColumn>
    <filterColumn colId="8">
      <filters>
        <filter val="Abnormal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066E-B126-463D-ABEA-5E3A9F6FD0BA}">
  <dimension ref="A1:J46"/>
  <sheetViews>
    <sheetView topLeftCell="A15" workbookViewId="0">
      <selection activeCell="H19" sqref="H19"/>
    </sheetView>
  </sheetViews>
  <sheetFormatPr defaultRowHeight="14.4" x14ac:dyDescent="0.3"/>
  <sheetData>
    <row r="1" spans="1:10" ht="15.6" x14ac:dyDescent="0.3">
      <c r="A1" s="4" t="s">
        <v>80</v>
      </c>
    </row>
    <row r="2" spans="1:10" x14ac:dyDescent="0.3">
      <c r="A2" s="5"/>
    </row>
    <row r="3" spans="1:10" x14ac:dyDescent="0.3">
      <c r="A3" s="5" t="s">
        <v>81</v>
      </c>
      <c r="I3" s="7">
        <f>COUNTIF(data!D:D,"&lt;40")</f>
        <v>12</v>
      </c>
    </row>
    <row r="5" spans="1:10" ht="15.6" x14ac:dyDescent="0.3">
      <c r="A5" s="4" t="s">
        <v>82</v>
      </c>
    </row>
    <row r="6" spans="1:10" x14ac:dyDescent="0.3">
      <c r="A6" s="5"/>
    </row>
    <row r="7" spans="1:10" x14ac:dyDescent="0.3">
      <c r="A7" s="5" t="s">
        <v>83</v>
      </c>
      <c r="J7" s="7">
        <f>COUNTIFS(data!E:E,"Female",data!F:F,"Chest")/COUNTIF(data!E:E,"Female")</f>
        <v>0.4</v>
      </c>
    </row>
    <row r="9" spans="1:10" ht="15.6" x14ac:dyDescent="0.3">
      <c r="A9" s="4" t="s">
        <v>84</v>
      </c>
    </row>
    <row r="10" spans="1:10" x14ac:dyDescent="0.3">
      <c r="A10" s="5"/>
    </row>
    <row r="11" spans="1:10" x14ac:dyDescent="0.3">
      <c r="A11" s="5" t="s">
        <v>85</v>
      </c>
      <c r="G11" s="7">
        <f>COUNTIF(data!F:F,"Chest")</f>
        <v>13</v>
      </c>
    </row>
    <row r="13" spans="1:10" ht="15.6" x14ac:dyDescent="0.3">
      <c r="A13" s="4" t="s">
        <v>86</v>
      </c>
    </row>
    <row r="14" spans="1:10" x14ac:dyDescent="0.3">
      <c r="A14" s="5"/>
    </row>
    <row r="15" spans="1:10" x14ac:dyDescent="0.3">
      <c r="A15" s="5" t="s">
        <v>87</v>
      </c>
      <c r="I15" s="7">
        <f>COUNTIFS(data!E:E,"Male",data!F:F,"Chest",data!D:D,"&lt;30")</f>
        <v>4</v>
      </c>
    </row>
    <row r="17" spans="1:8" ht="15.6" x14ac:dyDescent="0.3">
      <c r="A17" s="4" t="s">
        <v>88</v>
      </c>
    </row>
    <row r="18" spans="1:8" x14ac:dyDescent="0.3">
      <c r="A18" s="5"/>
    </row>
    <row r="19" spans="1:8" x14ac:dyDescent="0.3">
      <c r="A19" s="5" t="s">
        <v>89</v>
      </c>
      <c r="H19" s="7">
        <f>COUNTIF(data!F:F,"Chest")+ COUNTIF(data!F:F,"Abdomen")</f>
        <v>23</v>
      </c>
    </row>
    <row r="21" spans="1:8" ht="15.6" x14ac:dyDescent="0.3">
      <c r="A21" s="4" t="s">
        <v>90</v>
      </c>
    </row>
    <row r="22" spans="1:8" x14ac:dyDescent="0.3">
      <c r="A22" s="5"/>
    </row>
    <row r="23" spans="1:8" x14ac:dyDescent="0.3">
      <c r="A23" s="5" t="s">
        <v>91</v>
      </c>
    </row>
    <row r="25" spans="1:8" ht="15.6" x14ac:dyDescent="0.3">
      <c r="A25" s="4" t="s">
        <v>92</v>
      </c>
    </row>
    <row r="26" spans="1:8" x14ac:dyDescent="0.3">
      <c r="A26" s="5"/>
    </row>
    <row r="27" spans="1:8" x14ac:dyDescent="0.3">
      <c r="A27" s="5" t="s">
        <v>93</v>
      </c>
    </row>
    <row r="28" spans="1:8" x14ac:dyDescent="0.3">
      <c r="A28" s="6" t="s">
        <v>94</v>
      </c>
    </row>
    <row r="29" spans="1:8" x14ac:dyDescent="0.3">
      <c r="A29" s="6" t="s">
        <v>95</v>
      </c>
    </row>
    <row r="30" spans="1:8" x14ac:dyDescent="0.3">
      <c r="A30" s="6" t="s">
        <v>96</v>
      </c>
    </row>
    <row r="32" spans="1:8" ht="15.6" x14ac:dyDescent="0.3">
      <c r="A32" s="4" t="s">
        <v>97</v>
      </c>
      <c r="H32" s="7" t="str" cm="1">
        <f t="array" ref="H32:H34">_xlfn.UNIQUE(data!F2:F31)</f>
        <v>Chest</v>
      </c>
    </row>
    <row r="33" spans="1:8" x14ac:dyDescent="0.3">
      <c r="A33" s="5"/>
      <c r="H33" s="7" t="str">
        <v>Abdomen</v>
      </c>
    </row>
    <row r="34" spans="1:8" x14ac:dyDescent="0.3">
      <c r="A34" s="5" t="s">
        <v>98</v>
      </c>
      <c r="H34" s="7" t="str">
        <v>Spine</v>
      </c>
    </row>
    <row r="36" spans="1:8" ht="15.6" x14ac:dyDescent="0.3">
      <c r="A36" s="4" t="s">
        <v>99</v>
      </c>
    </row>
    <row r="37" spans="1:8" x14ac:dyDescent="0.3">
      <c r="A37" s="5"/>
    </row>
    <row r="38" spans="1:8" x14ac:dyDescent="0.3">
      <c r="A38" s="5" t="s">
        <v>100</v>
      </c>
    </row>
    <row r="40" spans="1:8" ht="15.6" x14ac:dyDescent="0.3">
      <c r="A40" s="4" t="s">
        <v>101</v>
      </c>
    </row>
    <row r="41" spans="1:8" x14ac:dyDescent="0.3">
      <c r="A41" s="5"/>
    </row>
    <row r="42" spans="1:8" x14ac:dyDescent="0.3">
      <c r="A42" s="5" t="s">
        <v>102</v>
      </c>
    </row>
    <row r="44" spans="1:8" ht="15.6" x14ac:dyDescent="0.3">
      <c r="A44" s="4" t="s">
        <v>103</v>
      </c>
    </row>
    <row r="45" spans="1:8" x14ac:dyDescent="0.3">
      <c r="A45" s="5"/>
    </row>
    <row r="46" spans="1:8" x14ac:dyDescent="0.3">
      <c r="A46" s="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FILTER(9)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vishakha patil</dc:creator>
  <cp:lastModifiedBy>abhimanyunallakkandy@gmail.com</cp:lastModifiedBy>
  <dcterms:created xsi:type="dcterms:W3CDTF">2024-12-24T10:04:39Z</dcterms:created>
  <dcterms:modified xsi:type="dcterms:W3CDTF">2025-12-18T07:10:47Z</dcterms:modified>
</cp:coreProperties>
</file>