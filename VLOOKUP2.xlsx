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587A9C475C4AE6/Documents/"/>
    </mc:Choice>
  </mc:AlternateContent>
  <xr:revisionPtr revIDLastSave="0" documentId="8_{2A17DB3F-076E-49CD-B8C4-D437090886D0}" xr6:coauthVersionLast="47" xr6:coauthVersionMax="47" xr10:uidLastSave="{00000000-0000-0000-0000-000000000000}"/>
  <bookViews>
    <workbookView xWindow="-108" yWindow="-108" windowWidth="23256" windowHeight="12456" xr2:uid="{E1D503C3-570E-4DE1-8F38-F4A7F9B7834E}"/>
  </bookViews>
  <sheets>
    <sheet name="DATA" sheetId="1" r:id="rId1"/>
    <sheet name="QUESTIONS ON BOTH THE SHEET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" i="1"/>
  <c r="D3" i="1"/>
  <c r="D15" i="2"/>
  <c r="D2" i="1"/>
  <c r="C15" i="2"/>
  <c r="B15" i="2"/>
  <c r="B19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2" i="1"/>
  <c r="B7" i="2"/>
  <c r="B3" i="2"/>
  <c r="B31" i="2"/>
  <c r="C31" i="2"/>
  <c r="B27" i="2"/>
  <c r="B23" i="2"/>
  <c r="B11" i="2"/>
</calcChain>
</file>

<file path=xl/sharedStrings.xml><?xml version="1.0" encoding="utf-8"?>
<sst xmlns="http://schemas.openxmlformats.org/spreadsheetml/2006/main" count="74" uniqueCount="33">
  <si>
    <t>Department</t>
  </si>
  <si>
    <t>Budget 2024</t>
  </si>
  <si>
    <t>Actual 2024</t>
  </si>
  <si>
    <t>Variance</t>
  </si>
  <si>
    <t>Sales</t>
  </si>
  <si>
    <t>HR</t>
  </si>
  <si>
    <t>IT</t>
  </si>
  <si>
    <t>Finance</t>
  </si>
  <si>
    <t>Marketing</t>
  </si>
  <si>
    <t>Find Employee Information Using Employee ID:</t>
  </si>
  <si>
    <r>
      <t xml:space="preserve">Example: What is the salary of the employee with ID </t>
    </r>
    <r>
      <rPr>
        <sz val="10"/>
        <color theme="1"/>
        <rFont val="Arial Unicode MS"/>
      </rPr>
      <t>1023</t>
    </r>
    <r>
      <rPr>
        <sz val="11"/>
        <color theme="1"/>
        <rFont val="Calibri"/>
        <family val="2"/>
        <scheme val="minor"/>
      </rPr>
      <t>?</t>
    </r>
  </si>
  <si>
    <t>Find Department Budget Information:</t>
  </si>
  <si>
    <t>Example: What is the budget for the Marketing department in 2024?</t>
  </si>
  <si>
    <t>Find Variance for IT Department:</t>
  </si>
  <si>
    <t>Example: What is the variance for IT in 2024?</t>
  </si>
  <si>
    <t>Employee Name and Department from Employee ID:</t>
  </si>
  <si>
    <r>
      <t xml:space="preserve">Example: What is the name and department of the employee with ID </t>
    </r>
    <r>
      <rPr>
        <sz val="10"/>
        <color theme="1"/>
        <rFont val="Arial Unicode MS"/>
      </rPr>
      <t>1007</t>
    </r>
    <r>
      <rPr>
        <sz val="11"/>
        <color theme="1"/>
        <rFont val="Calibri"/>
        <family val="2"/>
        <scheme val="minor"/>
      </rPr>
      <t>?</t>
    </r>
  </si>
  <si>
    <t>Find Employee’s Email Based on Job Title:</t>
  </si>
  <si>
    <t>Example: What is the email of the Sales Manager?</t>
  </si>
  <si>
    <t>Find the Actual Spending for Finance in 2024:</t>
  </si>
  <si>
    <t>Example: What is the actual spending for the Finance department in 2024?</t>
  </si>
  <si>
    <t>Find Variance Based on Department:</t>
  </si>
  <si>
    <t>Example: What is the variance for the Sales department in 2024?</t>
  </si>
  <si>
    <t>Retrieve Department’s Actual Budget and Variance Together:</t>
  </si>
  <si>
    <t>Example: What is the Actual spending and Variance for the HR department in 2024?</t>
  </si>
  <si>
    <t>Actual Budget</t>
  </si>
  <si>
    <t>SALARY</t>
  </si>
  <si>
    <t>Email ID</t>
  </si>
  <si>
    <t>Id</t>
  </si>
  <si>
    <t>ABCD</t>
  </si>
  <si>
    <t>HELPER</t>
  </si>
  <si>
    <t>PQR</t>
  </si>
  <si>
    <t>BUDGET+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</si>
</sst>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/>
    <xf numFmtId="164" fontId="4" fillId="2" borderId="1" xfId="0" applyNumberFormat="1" applyFont="1" applyFill="1" applyBorder="1"/>
    <xf numFmtId="164" fontId="3" fillId="2" borderId="1" xfId="0" applyNumberFormat="1" applyFont="1" applyFill="1" applyBorder="1"/>
    <xf numFmtId="0" fontId="0" fillId="3" borderId="1" xfId="0" applyFill="1" applyBorder="1"/>
    <xf numFmtId="164" fontId="1" fillId="4" borderId="1" xfId="0" applyNumberFormat="1" applyFont="1" applyFill="1" applyBorder="1"/>
    <xf numFmtId="0" fontId="5" fillId="4" borderId="1" xfId="0" applyFont="1" applyFill="1" applyBorder="1"/>
    <xf numFmtId="0" fontId="1" fillId="0" borderId="0" xfId="0" applyFont="1" applyAlignment="1">
      <alignment horizontal="center"/>
    </xf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BE76-3732-44BC-98D5-A27406256D53}">
  <dimension ref="A1:J45"/>
  <sheetViews>
    <sheetView tabSelected="1" workbookViewId="0">
      <selection activeCell="K3" sqref="K3"/>
    </sheetView>
  </sheetViews>
  <sheetFormatPr defaultColWidth="18.77734375" defaultRowHeight="18" customHeight="1"/>
  <cols>
    <col min="9" max="9" width="25.88671875" bestFit="1" customWidth="1"/>
  </cols>
  <sheetData>
    <row r="1" spans="1:10" ht="18" customHeight="1">
      <c r="A1" s="12" t="s">
        <v>28</v>
      </c>
      <c r="B1" s="12"/>
      <c r="C1" s="1" t="s">
        <v>0</v>
      </c>
      <c r="D1" s="1" t="s">
        <v>30</v>
      </c>
      <c r="E1" s="1" t="s">
        <v>26</v>
      </c>
      <c r="F1" s="1" t="s">
        <v>1</v>
      </c>
      <c r="G1" s="1" t="s">
        <v>2</v>
      </c>
      <c r="H1" s="1" t="s">
        <v>3</v>
      </c>
      <c r="I1" s="1" t="s">
        <v>27</v>
      </c>
      <c r="J1" s="1" t="s">
        <v>32</v>
      </c>
    </row>
    <row r="2" spans="1:10" ht="18" customHeight="1">
      <c r="A2">
        <v>1007</v>
      </c>
      <c r="B2" t="s">
        <v>29</v>
      </c>
      <c r="C2" s="2" t="s">
        <v>4</v>
      </c>
      <c r="D2" s="2" t="str">
        <f>CONCATENATE(C2," ",B2)</f>
        <v>Sales ABCD</v>
      </c>
      <c r="E2" s="2">
        <v>17000</v>
      </c>
      <c r="F2" s="2">
        <v>1000000</v>
      </c>
      <c r="G2" s="2">
        <v>950000</v>
      </c>
      <c r="H2" s="2">
        <v>-50000</v>
      </c>
      <c r="I2" t="str">
        <f>IF(C2="Sales","sales@gmail.com",IF(C2="HR","hrmanger@gmail.com",IF(C2="it","itmanger@gmail.com",IF(C2="finance","financemanger@gmail.com",IF(C2="marketing","marketingmanger@gmail.com")))))</f>
        <v>sales@gmail.com</v>
      </c>
      <c r="J2" t="str">
        <f>CONCATENATE(F2," , ",G2)</f>
        <v>1000000 , 950000</v>
      </c>
    </row>
    <row r="3" spans="1:10" ht="18" customHeight="1">
      <c r="A3">
        <v>1008</v>
      </c>
      <c r="B3" t="s">
        <v>31</v>
      </c>
      <c r="C3" s="2" t="s">
        <v>5</v>
      </c>
      <c r="D3" s="2" t="str">
        <f>CONCATENATE(C3," ",B3)</f>
        <v>HR PQR</v>
      </c>
      <c r="E3" s="2">
        <v>18000</v>
      </c>
      <c r="F3" s="2">
        <v>500000</v>
      </c>
      <c r="G3" s="2">
        <v>480000</v>
      </c>
      <c r="H3" s="2">
        <v>-20000</v>
      </c>
      <c r="I3" t="str">
        <f t="shared" ref="I3:I45" si="0">IF(C3="Sales","sales@gmail.com",IF(C3="HR","hrmanger@gmail.com",IF(C3="it","itmanger@gmail.com",IF(C3="finance","financemanger@gmail.com",IF(C3="marketing","marketingmanger@gmail.com")))))</f>
        <v>hrmanger@gmail.com</v>
      </c>
      <c r="J3" t="str">
        <f t="shared" ref="J3:J45" si="1">CONCATENATE(F3," , ",G3)</f>
        <v>500000 , 480000</v>
      </c>
    </row>
    <row r="4" spans="1:10" ht="18" customHeight="1">
      <c r="A4">
        <v>1009</v>
      </c>
      <c r="C4" s="2" t="s">
        <v>6</v>
      </c>
      <c r="D4" s="2"/>
      <c r="E4" s="2">
        <v>19000</v>
      </c>
      <c r="F4" s="2">
        <v>1200000</v>
      </c>
      <c r="G4" s="2">
        <v>1250000</v>
      </c>
      <c r="H4" s="2">
        <v>50000</v>
      </c>
      <c r="I4" t="str">
        <f t="shared" si="0"/>
        <v>itmanger@gmail.com</v>
      </c>
      <c r="J4" t="str">
        <f t="shared" si="1"/>
        <v>1200000 , 1250000</v>
      </c>
    </row>
    <row r="5" spans="1:10" ht="18" customHeight="1">
      <c r="A5">
        <v>1010</v>
      </c>
      <c r="C5" s="2" t="s">
        <v>7</v>
      </c>
      <c r="D5" s="2"/>
      <c r="E5" s="2">
        <v>20000</v>
      </c>
      <c r="F5" s="2">
        <v>800000</v>
      </c>
      <c r="G5" s="2">
        <v>810000</v>
      </c>
      <c r="H5" s="2">
        <v>10000</v>
      </c>
      <c r="I5" t="str">
        <f t="shared" si="0"/>
        <v>financemanger@gmail.com</v>
      </c>
      <c r="J5" t="str">
        <f t="shared" si="1"/>
        <v>800000 , 810000</v>
      </c>
    </row>
    <row r="6" spans="1:10" ht="18" customHeight="1">
      <c r="A6">
        <v>1011</v>
      </c>
      <c r="C6" s="2" t="s">
        <v>8</v>
      </c>
      <c r="D6" s="2"/>
      <c r="E6" s="2">
        <v>21000</v>
      </c>
      <c r="F6" s="2">
        <v>600000</v>
      </c>
      <c r="G6" s="2">
        <v>650000</v>
      </c>
      <c r="H6" s="2">
        <v>50000</v>
      </c>
      <c r="I6" t="str">
        <f t="shared" si="0"/>
        <v>marketingmanger@gmail.com</v>
      </c>
      <c r="J6" t="str">
        <f t="shared" si="1"/>
        <v>600000 , 650000</v>
      </c>
    </row>
    <row r="7" spans="1:10" ht="18" customHeight="1">
      <c r="A7">
        <v>1012</v>
      </c>
      <c r="C7" s="2" t="s">
        <v>6</v>
      </c>
      <c r="D7" s="2"/>
      <c r="E7" s="2">
        <v>22000</v>
      </c>
      <c r="F7" s="2">
        <v>700000</v>
      </c>
      <c r="G7" s="2">
        <v>700000</v>
      </c>
      <c r="H7" s="2">
        <v>0</v>
      </c>
      <c r="I7" t="str">
        <f t="shared" si="0"/>
        <v>itmanger@gmail.com</v>
      </c>
      <c r="J7" t="str">
        <f t="shared" si="1"/>
        <v>700000 , 700000</v>
      </c>
    </row>
    <row r="8" spans="1:10" ht="18" customHeight="1">
      <c r="A8">
        <v>1013</v>
      </c>
      <c r="C8" s="2" t="s">
        <v>5</v>
      </c>
      <c r="D8" s="2"/>
      <c r="E8" s="2">
        <v>23000</v>
      </c>
      <c r="F8" s="2">
        <v>450000</v>
      </c>
      <c r="G8" s="2">
        <v>460000</v>
      </c>
      <c r="H8" s="2">
        <v>10000</v>
      </c>
      <c r="I8" t="str">
        <f t="shared" si="0"/>
        <v>hrmanger@gmail.com</v>
      </c>
      <c r="J8" t="str">
        <f t="shared" si="1"/>
        <v>450000 , 460000</v>
      </c>
    </row>
    <row r="9" spans="1:10" ht="18" customHeight="1">
      <c r="A9">
        <v>1014</v>
      </c>
      <c r="C9" s="2" t="s">
        <v>4</v>
      </c>
      <c r="D9" s="2"/>
      <c r="E9" s="2">
        <v>24000</v>
      </c>
      <c r="F9" s="2">
        <v>750000</v>
      </c>
      <c r="G9" s="2">
        <v>700000</v>
      </c>
      <c r="H9" s="2">
        <v>-50000</v>
      </c>
      <c r="I9" t="str">
        <f t="shared" si="0"/>
        <v>sales@gmail.com</v>
      </c>
      <c r="J9" t="str">
        <f t="shared" si="1"/>
        <v>750000 , 700000</v>
      </c>
    </row>
    <row r="10" spans="1:10" ht="18" customHeight="1">
      <c r="A10">
        <v>1015</v>
      </c>
      <c r="C10" s="2" t="s">
        <v>7</v>
      </c>
      <c r="D10" s="2"/>
      <c r="E10" s="2">
        <v>25000</v>
      </c>
      <c r="F10" s="2">
        <v>950000</v>
      </c>
      <c r="G10" s="2">
        <v>930000</v>
      </c>
      <c r="H10" s="2">
        <v>-20000</v>
      </c>
      <c r="I10" t="str">
        <f t="shared" si="0"/>
        <v>financemanger@gmail.com</v>
      </c>
      <c r="J10" t="str">
        <f t="shared" si="1"/>
        <v>950000 , 930000</v>
      </c>
    </row>
    <row r="11" spans="1:10" ht="18" customHeight="1">
      <c r="A11">
        <v>1016</v>
      </c>
      <c r="C11" s="2" t="s">
        <v>8</v>
      </c>
      <c r="D11" s="2"/>
      <c r="E11" s="2">
        <v>26000</v>
      </c>
      <c r="F11" s="2">
        <v>620000</v>
      </c>
      <c r="G11" s="2">
        <v>620000</v>
      </c>
      <c r="H11" s="2">
        <v>0</v>
      </c>
      <c r="I11" t="str">
        <f t="shared" si="0"/>
        <v>marketingmanger@gmail.com</v>
      </c>
      <c r="J11" t="str">
        <f t="shared" si="1"/>
        <v>620000 , 620000</v>
      </c>
    </row>
    <row r="12" spans="1:10" ht="18" customHeight="1">
      <c r="A12">
        <v>1017</v>
      </c>
      <c r="C12" s="2" t="s">
        <v>6</v>
      </c>
      <c r="D12" s="2"/>
      <c r="E12" s="2">
        <v>27000</v>
      </c>
      <c r="F12" s="2">
        <v>500000</v>
      </c>
      <c r="G12" s="2">
        <v>540000</v>
      </c>
      <c r="H12" s="2">
        <v>40000</v>
      </c>
      <c r="I12" t="str">
        <f t="shared" si="0"/>
        <v>itmanger@gmail.com</v>
      </c>
      <c r="J12" t="str">
        <f t="shared" si="1"/>
        <v>500000 , 540000</v>
      </c>
    </row>
    <row r="13" spans="1:10" ht="18" customHeight="1">
      <c r="A13">
        <v>1018</v>
      </c>
      <c r="C13" s="2" t="s">
        <v>4</v>
      </c>
      <c r="D13" s="2"/>
      <c r="E13" s="2">
        <v>28000</v>
      </c>
      <c r="F13" s="2">
        <v>800000</v>
      </c>
      <c r="G13" s="2">
        <v>850000</v>
      </c>
      <c r="H13" s="2">
        <v>50000</v>
      </c>
      <c r="I13" t="str">
        <f t="shared" si="0"/>
        <v>sales@gmail.com</v>
      </c>
      <c r="J13" t="str">
        <f t="shared" si="1"/>
        <v>800000 , 850000</v>
      </c>
    </row>
    <row r="14" spans="1:10" ht="18" customHeight="1">
      <c r="A14">
        <v>1019</v>
      </c>
      <c r="C14" s="2" t="s">
        <v>5</v>
      </c>
      <c r="D14" s="2"/>
      <c r="E14" s="2">
        <v>29000</v>
      </c>
      <c r="F14" s="2">
        <v>520000</v>
      </c>
      <c r="G14" s="2">
        <v>510000</v>
      </c>
      <c r="H14" s="2">
        <v>-10000</v>
      </c>
      <c r="I14" t="str">
        <f t="shared" si="0"/>
        <v>hrmanger@gmail.com</v>
      </c>
      <c r="J14" t="str">
        <f t="shared" si="1"/>
        <v>520000 , 510000</v>
      </c>
    </row>
    <row r="15" spans="1:10" ht="18" customHeight="1">
      <c r="A15">
        <v>1020</v>
      </c>
      <c r="C15" s="2" t="s">
        <v>6</v>
      </c>
      <c r="D15" s="2"/>
      <c r="E15" s="2">
        <v>30000</v>
      </c>
      <c r="F15" s="2">
        <v>600000</v>
      </c>
      <c r="G15" s="2">
        <v>580000</v>
      </c>
      <c r="H15" s="2">
        <v>-20000</v>
      </c>
      <c r="I15" t="str">
        <f t="shared" si="0"/>
        <v>itmanger@gmail.com</v>
      </c>
      <c r="J15" t="str">
        <f t="shared" si="1"/>
        <v>600000 , 580000</v>
      </c>
    </row>
    <row r="16" spans="1:10" ht="18" customHeight="1">
      <c r="A16">
        <v>1021</v>
      </c>
      <c r="C16" s="2" t="s">
        <v>8</v>
      </c>
      <c r="D16" s="2"/>
      <c r="E16" s="2">
        <v>31000</v>
      </c>
      <c r="F16" s="2">
        <v>670000</v>
      </c>
      <c r="G16" s="2">
        <v>660000</v>
      </c>
      <c r="H16" s="2">
        <v>-10000</v>
      </c>
      <c r="I16" t="str">
        <f t="shared" si="0"/>
        <v>marketingmanger@gmail.com</v>
      </c>
      <c r="J16" t="str">
        <f t="shared" si="1"/>
        <v>670000 , 660000</v>
      </c>
    </row>
    <row r="17" spans="1:10" ht="18" customHeight="1">
      <c r="A17">
        <v>1022</v>
      </c>
      <c r="C17" s="2" t="s">
        <v>7</v>
      </c>
      <c r="D17" s="2"/>
      <c r="E17" s="2">
        <v>32000</v>
      </c>
      <c r="F17" s="2">
        <v>700000</v>
      </c>
      <c r="G17" s="2">
        <v>720000</v>
      </c>
      <c r="H17" s="2">
        <v>20000</v>
      </c>
      <c r="I17" t="str">
        <f t="shared" si="0"/>
        <v>financemanger@gmail.com</v>
      </c>
      <c r="J17" t="str">
        <f t="shared" si="1"/>
        <v>700000 , 720000</v>
      </c>
    </row>
    <row r="18" spans="1:10" ht="18" customHeight="1">
      <c r="A18">
        <v>1023</v>
      </c>
      <c r="C18" s="2" t="s">
        <v>5</v>
      </c>
      <c r="D18" s="2"/>
      <c r="E18" s="2">
        <v>33000</v>
      </c>
      <c r="F18" s="2">
        <v>480000</v>
      </c>
      <c r="G18" s="2">
        <v>470000</v>
      </c>
      <c r="H18" s="2">
        <v>-10000</v>
      </c>
      <c r="I18" t="str">
        <f t="shared" si="0"/>
        <v>hrmanger@gmail.com</v>
      </c>
      <c r="J18" t="str">
        <f t="shared" si="1"/>
        <v>480000 , 470000</v>
      </c>
    </row>
    <row r="19" spans="1:10" ht="18" customHeight="1">
      <c r="A19">
        <v>1024</v>
      </c>
      <c r="C19" s="2" t="s">
        <v>6</v>
      </c>
      <c r="D19" s="2"/>
      <c r="E19" s="2">
        <v>34000</v>
      </c>
      <c r="F19" s="2">
        <v>700000</v>
      </c>
      <c r="G19" s="2">
        <v>690000</v>
      </c>
      <c r="H19" s="2">
        <v>-10000</v>
      </c>
      <c r="I19" t="str">
        <f t="shared" si="0"/>
        <v>itmanger@gmail.com</v>
      </c>
      <c r="J19" t="str">
        <f t="shared" si="1"/>
        <v>700000 , 690000</v>
      </c>
    </row>
    <row r="20" spans="1:10" ht="18" customHeight="1">
      <c r="A20">
        <v>1025</v>
      </c>
      <c r="C20" s="2" t="s">
        <v>4</v>
      </c>
      <c r="D20" s="2"/>
      <c r="E20" s="2">
        <v>35000</v>
      </c>
      <c r="F20" s="2">
        <v>900000</v>
      </c>
      <c r="G20" s="2">
        <v>950000</v>
      </c>
      <c r="H20" s="2">
        <v>50000</v>
      </c>
      <c r="I20" t="str">
        <f t="shared" si="0"/>
        <v>sales@gmail.com</v>
      </c>
      <c r="J20" t="str">
        <f t="shared" si="1"/>
        <v>900000 , 950000</v>
      </c>
    </row>
    <row r="21" spans="1:10" ht="18" customHeight="1">
      <c r="A21">
        <v>1026</v>
      </c>
      <c r="C21" s="2" t="s">
        <v>5</v>
      </c>
      <c r="D21" s="2"/>
      <c r="E21" s="2">
        <v>36000</v>
      </c>
      <c r="F21" s="2">
        <v>500000</v>
      </c>
      <c r="G21" s="2">
        <v>490000</v>
      </c>
      <c r="H21" s="2">
        <v>-10000</v>
      </c>
      <c r="I21" t="str">
        <f t="shared" si="0"/>
        <v>hrmanger@gmail.com</v>
      </c>
      <c r="J21" t="str">
        <f t="shared" si="1"/>
        <v>500000 , 490000</v>
      </c>
    </row>
    <row r="22" spans="1:10" ht="18" customHeight="1">
      <c r="A22">
        <v>1027</v>
      </c>
      <c r="C22" s="2" t="s">
        <v>6</v>
      </c>
      <c r="D22" s="2"/>
      <c r="E22" s="2">
        <v>37000</v>
      </c>
      <c r="F22" s="2">
        <v>850000</v>
      </c>
      <c r="G22" s="2">
        <v>860000</v>
      </c>
      <c r="H22" s="2">
        <v>10000</v>
      </c>
      <c r="I22" t="str">
        <f t="shared" si="0"/>
        <v>itmanger@gmail.com</v>
      </c>
      <c r="J22" t="str">
        <f t="shared" si="1"/>
        <v>850000 , 860000</v>
      </c>
    </row>
    <row r="23" spans="1:10" ht="18" customHeight="1">
      <c r="A23">
        <v>1028</v>
      </c>
      <c r="C23" s="2" t="s">
        <v>8</v>
      </c>
      <c r="D23" s="2"/>
      <c r="E23" s="2">
        <v>38000</v>
      </c>
      <c r="F23" s="2">
        <v>680000</v>
      </c>
      <c r="G23" s="2">
        <v>670000</v>
      </c>
      <c r="H23" s="2">
        <v>-10000</v>
      </c>
      <c r="I23" t="str">
        <f t="shared" si="0"/>
        <v>marketingmanger@gmail.com</v>
      </c>
      <c r="J23" t="str">
        <f t="shared" si="1"/>
        <v>680000 , 670000</v>
      </c>
    </row>
    <row r="24" spans="1:10" ht="18" customHeight="1">
      <c r="A24">
        <v>1029</v>
      </c>
      <c r="C24" s="2" t="s">
        <v>4</v>
      </c>
      <c r="D24" s="2"/>
      <c r="E24" s="2">
        <v>39000</v>
      </c>
      <c r="F24" s="2">
        <v>800000</v>
      </c>
      <c r="G24" s="2">
        <v>780000</v>
      </c>
      <c r="H24" s="2">
        <v>-20000</v>
      </c>
      <c r="I24" t="str">
        <f t="shared" si="0"/>
        <v>sales@gmail.com</v>
      </c>
      <c r="J24" t="str">
        <f t="shared" si="1"/>
        <v>800000 , 780000</v>
      </c>
    </row>
    <row r="25" spans="1:10" ht="18" customHeight="1">
      <c r="A25">
        <v>1030</v>
      </c>
      <c r="C25" s="2" t="s">
        <v>7</v>
      </c>
      <c r="D25" s="2"/>
      <c r="E25" s="2">
        <v>40000</v>
      </c>
      <c r="F25" s="2">
        <v>900000</v>
      </c>
      <c r="G25" s="2">
        <v>880000</v>
      </c>
      <c r="H25" s="2">
        <v>-20000</v>
      </c>
      <c r="I25" t="str">
        <f t="shared" si="0"/>
        <v>financemanger@gmail.com</v>
      </c>
      <c r="J25" t="str">
        <f t="shared" si="1"/>
        <v>900000 , 880000</v>
      </c>
    </row>
    <row r="26" spans="1:10" ht="18" customHeight="1">
      <c r="A26">
        <v>1031</v>
      </c>
      <c r="C26" s="2" t="s">
        <v>6</v>
      </c>
      <c r="D26" s="2"/>
      <c r="E26" s="2">
        <v>41000</v>
      </c>
      <c r="F26" s="2">
        <v>950000</v>
      </c>
      <c r="G26" s="2">
        <v>960000</v>
      </c>
      <c r="H26" s="2">
        <v>10000</v>
      </c>
      <c r="I26" t="str">
        <f t="shared" si="0"/>
        <v>itmanger@gmail.com</v>
      </c>
      <c r="J26" t="str">
        <f t="shared" si="1"/>
        <v>950000 , 960000</v>
      </c>
    </row>
    <row r="27" spans="1:10" ht="18" customHeight="1">
      <c r="A27">
        <v>1032</v>
      </c>
      <c r="C27" s="2" t="s">
        <v>8</v>
      </c>
      <c r="D27" s="2"/>
      <c r="E27" s="2">
        <v>42000</v>
      </c>
      <c r="F27" s="2">
        <v>610000</v>
      </c>
      <c r="G27" s="2">
        <v>600000</v>
      </c>
      <c r="H27" s="2">
        <v>-10000</v>
      </c>
      <c r="I27" t="str">
        <f t="shared" si="0"/>
        <v>marketingmanger@gmail.com</v>
      </c>
      <c r="J27" t="str">
        <f t="shared" si="1"/>
        <v>610000 , 600000</v>
      </c>
    </row>
    <row r="28" spans="1:10" ht="18" customHeight="1">
      <c r="A28">
        <v>1033</v>
      </c>
      <c r="C28" s="2" t="s">
        <v>4</v>
      </c>
      <c r="D28" s="2"/>
      <c r="E28" s="2">
        <v>43000</v>
      </c>
      <c r="F28" s="2">
        <v>750000</v>
      </c>
      <c r="G28" s="2">
        <v>740000</v>
      </c>
      <c r="H28" s="2">
        <v>-10000</v>
      </c>
      <c r="I28" t="str">
        <f t="shared" si="0"/>
        <v>sales@gmail.com</v>
      </c>
      <c r="J28" t="str">
        <f t="shared" si="1"/>
        <v>750000 , 740000</v>
      </c>
    </row>
    <row r="29" spans="1:10" ht="18" customHeight="1">
      <c r="A29">
        <v>1034</v>
      </c>
      <c r="C29" s="2" t="s">
        <v>5</v>
      </c>
      <c r="D29" s="2"/>
      <c r="E29" s="2">
        <v>44000</v>
      </c>
      <c r="F29" s="2">
        <v>470000</v>
      </c>
      <c r="G29" s="2">
        <v>460000</v>
      </c>
      <c r="H29" s="2">
        <v>-10000</v>
      </c>
      <c r="I29" t="str">
        <f t="shared" si="0"/>
        <v>hrmanger@gmail.com</v>
      </c>
      <c r="J29" t="str">
        <f t="shared" si="1"/>
        <v>470000 , 460000</v>
      </c>
    </row>
    <row r="30" spans="1:10" ht="18" customHeight="1">
      <c r="A30">
        <v>1035</v>
      </c>
      <c r="C30" s="2" t="s">
        <v>6</v>
      </c>
      <c r="D30" s="2"/>
      <c r="E30" s="2">
        <v>45000</v>
      </c>
      <c r="F30" s="2">
        <v>700000</v>
      </c>
      <c r="G30" s="2">
        <v>710000</v>
      </c>
      <c r="H30" s="2">
        <v>10000</v>
      </c>
      <c r="I30" t="str">
        <f t="shared" si="0"/>
        <v>itmanger@gmail.com</v>
      </c>
      <c r="J30" t="str">
        <f t="shared" si="1"/>
        <v>700000 , 710000</v>
      </c>
    </row>
    <row r="31" spans="1:10" ht="18" customHeight="1">
      <c r="A31">
        <v>1036</v>
      </c>
      <c r="C31" s="2" t="s">
        <v>7</v>
      </c>
      <c r="D31" s="2"/>
      <c r="E31" s="2">
        <v>46000</v>
      </c>
      <c r="F31" s="2">
        <v>1000000</v>
      </c>
      <c r="G31" s="2">
        <v>1020000</v>
      </c>
      <c r="H31" s="2">
        <v>20000</v>
      </c>
      <c r="I31" t="str">
        <f t="shared" si="0"/>
        <v>financemanger@gmail.com</v>
      </c>
      <c r="J31" t="str">
        <f t="shared" si="1"/>
        <v>1000000 , 1020000</v>
      </c>
    </row>
    <row r="32" spans="1:10" ht="18" customHeight="1">
      <c r="A32">
        <v>1037</v>
      </c>
      <c r="C32" s="2" t="s">
        <v>5</v>
      </c>
      <c r="D32" s="2"/>
      <c r="E32" s="2">
        <v>47000</v>
      </c>
      <c r="F32" s="2">
        <v>550000</v>
      </c>
      <c r="G32" s="2">
        <v>540000</v>
      </c>
      <c r="H32" s="2">
        <v>-10000</v>
      </c>
      <c r="I32" t="str">
        <f t="shared" si="0"/>
        <v>hrmanger@gmail.com</v>
      </c>
      <c r="J32" t="str">
        <f t="shared" si="1"/>
        <v>550000 , 540000</v>
      </c>
    </row>
    <row r="33" spans="1:10" ht="18" customHeight="1">
      <c r="A33">
        <v>1038</v>
      </c>
      <c r="C33" s="2" t="s">
        <v>8</v>
      </c>
      <c r="D33" s="2"/>
      <c r="E33" s="2">
        <v>48000</v>
      </c>
      <c r="F33" s="2">
        <v>620000</v>
      </c>
      <c r="G33" s="2">
        <v>630000</v>
      </c>
      <c r="H33" s="2">
        <v>10000</v>
      </c>
      <c r="I33" t="str">
        <f t="shared" si="0"/>
        <v>marketingmanger@gmail.com</v>
      </c>
      <c r="J33" t="str">
        <f t="shared" si="1"/>
        <v>620000 , 630000</v>
      </c>
    </row>
    <row r="34" spans="1:10" ht="18" customHeight="1">
      <c r="A34">
        <v>1039</v>
      </c>
      <c r="C34" s="2" t="s">
        <v>6</v>
      </c>
      <c r="D34" s="2"/>
      <c r="E34" s="2">
        <v>49000</v>
      </c>
      <c r="F34" s="2">
        <v>1100000</v>
      </c>
      <c r="G34" s="2">
        <v>1200000</v>
      </c>
      <c r="H34" s="2">
        <v>100000</v>
      </c>
      <c r="I34" t="str">
        <f t="shared" si="0"/>
        <v>itmanger@gmail.com</v>
      </c>
      <c r="J34" t="str">
        <f t="shared" si="1"/>
        <v>1100000 , 1200000</v>
      </c>
    </row>
    <row r="35" spans="1:10" ht="18" customHeight="1">
      <c r="A35">
        <v>1040</v>
      </c>
      <c r="C35" s="2" t="s">
        <v>4</v>
      </c>
      <c r="D35" s="2"/>
      <c r="E35" s="2">
        <v>50000</v>
      </c>
      <c r="F35" s="2">
        <v>950000</v>
      </c>
      <c r="G35" s="2">
        <v>960000</v>
      </c>
      <c r="H35" s="2">
        <v>10000</v>
      </c>
      <c r="I35" t="str">
        <f t="shared" si="0"/>
        <v>sales@gmail.com</v>
      </c>
      <c r="J35" t="str">
        <f t="shared" si="1"/>
        <v>950000 , 960000</v>
      </c>
    </row>
    <row r="36" spans="1:10" ht="18" customHeight="1">
      <c r="A36">
        <v>1041</v>
      </c>
      <c r="C36" s="2" t="s">
        <v>7</v>
      </c>
      <c r="D36" s="2"/>
      <c r="E36" s="2">
        <v>51000</v>
      </c>
      <c r="F36" s="2">
        <v>800000</v>
      </c>
      <c r="G36" s="2">
        <v>790000</v>
      </c>
      <c r="H36" s="2">
        <v>-10000</v>
      </c>
      <c r="I36" t="str">
        <f t="shared" si="0"/>
        <v>financemanger@gmail.com</v>
      </c>
      <c r="J36" t="str">
        <f t="shared" si="1"/>
        <v>800000 , 790000</v>
      </c>
    </row>
    <row r="37" spans="1:10" ht="18" customHeight="1">
      <c r="A37">
        <v>1042</v>
      </c>
      <c r="C37" s="2" t="s">
        <v>5</v>
      </c>
      <c r="D37" s="2"/>
      <c r="E37" s="2">
        <v>52000</v>
      </c>
      <c r="F37" s="2">
        <v>490000</v>
      </c>
      <c r="G37" s="2">
        <v>500000</v>
      </c>
      <c r="H37" s="2">
        <v>10000</v>
      </c>
      <c r="I37" t="str">
        <f t="shared" si="0"/>
        <v>hrmanger@gmail.com</v>
      </c>
      <c r="J37" t="str">
        <f t="shared" si="1"/>
        <v>490000 , 500000</v>
      </c>
    </row>
    <row r="38" spans="1:10" ht="18" customHeight="1">
      <c r="A38">
        <v>1043</v>
      </c>
      <c r="C38" s="2" t="s">
        <v>6</v>
      </c>
      <c r="D38" s="2"/>
      <c r="E38" s="2">
        <v>53000</v>
      </c>
      <c r="F38" s="2">
        <v>950000</v>
      </c>
      <c r="G38" s="2">
        <v>940000</v>
      </c>
      <c r="H38" s="2">
        <v>-10000</v>
      </c>
      <c r="I38" t="str">
        <f t="shared" si="0"/>
        <v>itmanger@gmail.com</v>
      </c>
      <c r="J38" t="str">
        <f t="shared" si="1"/>
        <v>950000 , 940000</v>
      </c>
    </row>
    <row r="39" spans="1:10" ht="18" customHeight="1">
      <c r="A39">
        <v>1044</v>
      </c>
      <c r="C39" s="2" t="s">
        <v>4</v>
      </c>
      <c r="D39" s="2"/>
      <c r="E39" s="2">
        <v>54000</v>
      </c>
      <c r="F39" s="2">
        <v>820000</v>
      </c>
      <c r="G39" s="2">
        <v>800000</v>
      </c>
      <c r="H39" s="2">
        <v>-20000</v>
      </c>
      <c r="I39" t="str">
        <f t="shared" si="0"/>
        <v>sales@gmail.com</v>
      </c>
      <c r="J39" t="str">
        <f t="shared" si="1"/>
        <v>820000 , 800000</v>
      </c>
    </row>
    <row r="40" spans="1:10" ht="18" customHeight="1">
      <c r="A40">
        <v>1045</v>
      </c>
      <c r="C40" s="2" t="s">
        <v>8</v>
      </c>
      <c r="D40" s="2"/>
      <c r="E40" s="2">
        <v>55000</v>
      </c>
      <c r="F40" s="2">
        <v>650000</v>
      </c>
      <c r="G40" s="2">
        <v>640000</v>
      </c>
      <c r="H40" s="2">
        <v>-10000</v>
      </c>
      <c r="I40" t="str">
        <f t="shared" si="0"/>
        <v>marketingmanger@gmail.com</v>
      </c>
      <c r="J40" t="str">
        <f t="shared" si="1"/>
        <v>650000 , 640000</v>
      </c>
    </row>
    <row r="41" spans="1:10" ht="18" customHeight="1">
      <c r="A41">
        <v>1046</v>
      </c>
      <c r="C41" s="2" t="s">
        <v>7</v>
      </c>
      <c r="D41" s="2"/>
      <c r="E41" s="2">
        <v>56000</v>
      </c>
      <c r="F41" s="2">
        <v>950000</v>
      </c>
      <c r="G41" s="2">
        <v>960000</v>
      </c>
      <c r="H41" s="2">
        <v>10000</v>
      </c>
      <c r="I41" t="str">
        <f t="shared" si="0"/>
        <v>financemanger@gmail.com</v>
      </c>
      <c r="J41" t="str">
        <f t="shared" si="1"/>
        <v>950000 , 960000</v>
      </c>
    </row>
    <row r="42" spans="1:10" ht="18" customHeight="1">
      <c r="A42">
        <v>1047</v>
      </c>
      <c r="C42" s="2" t="s">
        <v>5</v>
      </c>
      <c r="D42" s="2"/>
      <c r="E42" s="2">
        <v>57000</v>
      </c>
      <c r="F42" s="2">
        <v>530000</v>
      </c>
      <c r="G42" s="2">
        <v>520000</v>
      </c>
      <c r="H42" s="2">
        <v>-10000</v>
      </c>
      <c r="I42" t="str">
        <f t="shared" si="0"/>
        <v>hrmanger@gmail.com</v>
      </c>
      <c r="J42" t="str">
        <f t="shared" si="1"/>
        <v>530000 , 520000</v>
      </c>
    </row>
    <row r="43" spans="1:10" ht="18" customHeight="1">
      <c r="A43">
        <v>1048</v>
      </c>
      <c r="C43" s="2" t="s">
        <v>6</v>
      </c>
      <c r="D43" s="2"/>
      <c r="E43" s="2">
        <v>58000</v>
      </c>
      <c r="F43" s="2">
        <v>750000</v>
      </c>
      <c r="G43" s="2">
        <v>740000</v>
      </c>
      <c r="H43" s="2">
        <v>-10000</v>
      </c>
      <c r="I43" t="str">
        <f t="shared" si="0"/>
        <v>itmanger@gmail.com</v>
      </c>
      <c r="J43" t="str">
        <f t="shared" si="1"/>
        <v>750000 , 740000</v>
      </c>
    </row>
    <row r="44" spans="1:10" ht="18" customHeight="1">
      <c r="A44">
        <v>1049</v>
      </c>
      <c r="C44" s="2" t="s">
        <v>4</v>
      </c>
      <c r="D44" s="2"/>
      <c r="E44" s="2">
        <v>59000</v>
      </c>
      <c r="F44" s="2">
        <v>900000</v>
      </c>
      <c r="G44" s="2">
        <v>890000</v>
      </c>
      <c r="H44" s="2">
        <v>-10000</v>
      </c>
      <c r="I44" t="str">
        <f t="shared" si="0"/>
        <v>sales@gmail.com</v>
      </c>
      <c r="J44" t="str">
        <f t="shared" si="1"/>
        <v>900000 , 890000</v>
      </c>
    </row>
    <row r="45" spans="1:10" ht="18" customHeight="1">
      <c r="A45">
        <v>1050</v>
      </c>
      <c r="C45" s="2" t="s">
        <v>5</v>
      </c>
      <c r="D45" s="2"/>
      <c r="E45" s="2">
        <v>60000</v>
      </c>
      <c r="F45" s="2">
        <v>500000</v>
      </c>
      <c r="G45" s="2">
        <v>490000</v>
      </c>
      <c r="H45" s="2">
        <v>-10000</v>
      </c>
      <c r="I45" t="str">
        <f t="shared" si="0"/>
        <v>hrmanger@gmail.com</v>
      </c>
      <c r="J45" t="str">
        <f t="shared" si="1"/>
        <v>500000 , 490000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E931-A61A-4BE6-8AB2-D7F0790484B9}">
  <dimension ref="A1:D31"/>
  <sheetViews>
    <sheetView topLeftCell="A2" workbookViewId="0">
      <selection activeCell="D15" sqref="D15"/>
    </sheetView>
  </sheetViews>
  <sheetFormatPr defaultRowHeight="14.4"/>
  <cols>
    <col min="1" max="1" width="102.44140625" bestFit="1" customWidth="1"/>
    <col min="2" max="2" width="15.33203125" bestFit="1" customWidth="1"/>
    <col min="3" max="3" width="12.109375" bestFit="1" customWidth="1"/>
    <col min="4" max="4" width="10.109375" bestFit="1" customWidth="1"/>
  </cols>
  <sheetData>
    <row r="1" spans="1:4">
      <c r="A1" s="3" t="s">
        <v>9</v>
      </c>
    </row>
    <row r="2" spans="1:4">
      <c r="A2" s="4"/>
    </row>
    <row r="3" spans="1:4">
      <c r="A3" s="5" t="s">
        <v>10</v>
      </c>
      <c r="B3" s="7" t="str">
        <f>VLOOKUP(DATA!A18,DATA!A:H,3,0)</f>
        <v>HR</v>
      </c>
    </row>
    <row r="5" spans="1:4">
      <c r="A5" s="3" t="s">
        <v>11</v>
      </c>
    </row>
    <row r="6" spans="1:4">
      <c r="A6" s="4"/>
    </row>
    <row r="7" spans="1:4">
      <c r="A7" s="5" t="s">
        <v>12</v>
      </c>
      <c r="B7" s="7">
        <f>SUMIF(DATA!C:C,"Marketing",DATA!F:F)</f>
        <v>4450000</v>
      </c>
    </row>
    <row r="9" spans="1:4">
      <c r="A9" s="3" t="s">
        <v>13</v>
      </c>
    </row>
    <row r="10" spans="1:4">
      <c r="A10" s="4"/>
    </row>
    <row r="11" spans="1:4">
      <c r="A11" s="5" t="s">
        <v>14</v>
      </c>
      <c r="B11" s="7">
        <f>SUMIF(DATA!C:C,"IT",DATA!H:H)</f>
        <v>170000</v>
      </c>
    </row>
    <row r="13" spans="1:4">
      <c r="A13" s="3" t="s">
        <v>15</v>
      </c>
    </row>
    <row r="14" spans="1:4">
      <c r="A14" s="4"/>
      <c r="B14" s="6" t="s">
        <v>0</v>
      </c>
    </row>
    <row r="15" spans="1:4">
      <c r="A15" s="5" t="s">
        <v>16</v>
      </c>
      <c r="B15" s="11" t="str">
        <f>VLOOKUP(DATA!A2,DATA!A:H,3,0)</f>
        <v>Sales</v>
      </c>
      <c r="C15" t="str">
        <f>VLOOKUP(DATA!A2,DATA!A:H,2,0)</f>
        <v>ABCD</v>
      </c>
      <c r="D15" t="str">
        <f>VLOOKUP(DATA!A2,DATA!A:G,4,0)</f>
        <v>Sales ABCD</v>
      </c>
    </row>
    <row r="17" spans="1:3">
      <c r="A17" s="3" t="s">
        <v>17</v>
      </c>
    </row>
    <row r="18" spans="1:3">
      <c r="A18" s="4"/>
    </row>
    <row r="19" spans="1:3">
      <c r="A19" s="5" t="s">
        <v>18</v>
      </c>
      <c r="B19" s="13" t="str">
        <f>INDEX(DATA!I:I,MATCH(DATA!C2,DATA!C:C,0))</f>
        <v>sales@gmail.com</v>
      </c>
    </row>
    <row r="21" spans="1:3">
      <c r="A21" s="3" t="s">
        <v>19</v>
      </c>
    </row>
    <row r="22" spans="1:3">
      <c r="A22" s="4"/>
    </row>
    <row r="23" spans="1:3">
      <c r="A23" s="5" t="s">
        <v>20</v>
      </c>
      <c r="B23" s="7">
        <f>SUMIF(DATA!C:C,"Finance",DATA!G:G)</f>
        <v>6110000</v>
      </c>
    </row>
    <row r="25" spans="1:3">
      <c r="A25" s="3" t="s">
        <v>21</v>
      </c>
    </row>
    <row r="26" spans="1:3">
      <c r="A26" s="4"/>
    </row>
    <row r="27" spans="1:3">
      <c r="A27" s="5" t="s">
        <v>22</v>
      </c>
      <c r="B27" s="8">
        <f>SUMIF(DATA!C:C,"sales",DATA!H:H)</f>
        <v>-50000</v>
      </c>
    </row>
    <row r="29" spans="1:3">
      <c r="A29" s="3" t="s">
        <v>23</v>
      </c>
    </row>
    <row r="30" spans="1:3">
      <c r="A30" s="4"/>
      <c r="B30" s="9" t="s">
        <v>25</v>
      </c>
      <c r="C30" s="9" t="s">
        <v>3</v>
      </c>
    </row>
    <row r="31" spans="1:3">
      <c r="A31" s="5" t="s">
        <v>24</v>
      </c>
      <c r="B31" s="10">
        <f>SUMIF(DATA!C:C,"hr",DATA!F:F)</f>
        <v>4990000</v>
      </c>
      <c r="C31" s="10">
        <f>SUMIF(DATA!C:C,"hr",DATA!H:H)</f>
        <v>-70000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 ON BOTH THE SHEETS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patil</dc:creator>
  <cp:lastModifiedBy>abhimanyunallakkandy@gmail.com</cp:lastModifiedBy>
  <dcterms:created xsi:type="dcterms:W3CDTF">2024-12-27T10:39:38Z</dcterms:created>
  <dcterms:modified xsi:type="dcterms:W3CDTF">2025-12-22T06:42:30Z</dcterms:modified>
</cp:coreProperties>
</file>