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587A9C475C4AE6/Documents/"/>
    </mc:Choice>
  </mc:AlternateContent>
  <xr:revisionPtr revIDLastSave="0" documentId="8_{E842E688-F28F-43AA-A88A-CFE296571CFA}" xr6:coauthVersionLast="47" xr6:coauthVersionMax="47" xr10:uidLastSave="{00000000-0000-0000-0000-000000000000}"/>
  <bookViews>
    <workbookView xWindow="-108" yWindow="-108" windowWidth="23256" windowHeight="12456" activeTab="2" xr2:uid="{9D66EBEB-2478-4B8D-A7CF-54F3EBFC3AEB}"/>
  </bookViews>
  <sheets>
    <sheet name="data1" sheetId="1" r:id="rId1"/>
    <sheet name="data2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H6" i="3"/>
  <c r="G5" i="3"/>
  <c r="G2" i="1" a="1"/>
  <c r="G2" i="1" s="1"/>
  <c r="J10" i="3"/>
  <c r="M9" i="3"/>
  <c r="I8" i="3"/>
  <c r="J4" i="3"/>
  <c r="G2" i="3"/>
  <c r="G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<sst xmlns="http://schemas.openxmlformats.org/spreadsheetml/2006/main" count="80" uniqueCount="48">
  <si>
    <t>Employee ID</t>
  </si>
  <si>
    <t>Name</t>
  </si>
  <si>
    <t>Department</t>
  </si>
  <si>
    <t>Salary</t>
  </si>
  <si>
    <t>John</t>
  </si>
  <si>
    <t>HR</t>
  </si>
  <si>
    <t>Jane</t>
  </si>
  <si>
    <t>Finance</t>
  </si>
  <si>
    <t>Mark</t>
  </si>
  <si>
    <t>Emily</t>
  </si>
  <si>
    <t>IT</t>
  </si>
  <si>
    <t>Alex</t>
  </si>
  <si>
    <t>Sarah</t>
  </si>
  <si>
    <t>Marketing</t>
  </si>
  <si>
    <t>David</t>
  </si>
  <si>
    <t>Olivia</t>
  </si>
  <si>
    <t>Brian</t>
  </si>
  <si>
    <t>Natalie</t>
  </si>
  <si>
    <t>Emma</t>
  </si>
  <si>
    <t>Lucas</t>
  </si>
  <si>
    <t>Grace</t>
  </si>
  <si>
    <t>Liam</t>
  </si>
  <si>
    <t>Zoe</t>
  </si>
  <si>
    <t>Mason</t>
  </si>
  <si>
    <t>Leo</t>
  </si>
  <si>
    <t>Ava</t>
  </si>
  <si>
    <t>Jake</t>
  </si>
  <si>
    <t>Lily</t>
  </si>
  <si>
    <t>Noah</t>
  </si>
  <si>
    <t>Ethan</t>
  </si>
  <si>
    <t>Amelia</t>
  </si>
  <si>
    <t>Aiden</t>
  </si>
  <si>
    <t>Ella</t>
  </si>
  <si>
    <t>Ryan</t>
  </si>
  <si>
    <t>Sophia</t>
  </si>
  <si>
    <t>Chloe</t>
  </si>
  <si>
    <t>Jack</t>
  </si>
  <si>
    <t>Budget (USD)</t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</si>
  <si>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Emily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</si>
  <si>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Mark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</si>
  <si>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budget for the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department from </t>
    </r>
    <r>
      <rPr>
        <b/>
        <sz val="11"/>
        <color theme="1"/>
        <rFont val="Calibri"/>
        <family val="2"/>
        <scheme val="minor"/>
      </rPr>
      <t>Dataset 2</t>
    </r>
    <r>
      <rPr>
        <sz val="11"/>
        <color theme="1"/>
        <rFont val="Calibri"/>
        <family val="2"/>
        <scheme val="minor"/>
      </rPr>
      <t xml:space="preserve"> and match it with </t>
    </r>
    <r>
      <rPr>
        <b/>
        <sz val="11"/>
        <color theme="1"/>
        <rFont val="Calibri"/>
        <family val="2"/>
        <scheme val="minor"/>
      </rPr>
      <t>Olivia's salary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</si>
  <si>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Sophia</t>
    </r>
    <r>
      <rPr>
        <sz val="11"/>
        <color theme="1"/>
        <rFont val="Calibri"/>
        <family val="2"/>
        <scheme val="minor"/>
      </rPr>
      <t>. If the employee doesn’t exist, return "Not Found".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</si>
  <si>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Jane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Employee Data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</si>
  <si>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department of the employee whose name is </t>
    </r>
    <r>
      <rPr>
        <b/>
        <sz val="11"/>
        <color theme="1"/>
        <rFont val="Calibri"/>
        <family val="2"/>
        <scheme val="minor"/>
      </rPr>
      <t>Ryan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</si>
  <si>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Sophia</t>
    </r>
    <r>
      <rPr>
        <sz val="11"/>
        <color theme="1"/>
        <rFont val="Calibri"/>
        <family val="2"/>
        <scheme val="minor"/>
      </rPr>
      <t>. If the employee doesn’t exist, return "Not Found".</t>
    </r>
  </si>
  <si>
    <r>
      <t xml:space="preserve">Use the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functions to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Natalie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</si>
  <si>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who is in the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department and has an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1024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</si>
  <si>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return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1018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</si>
</sst>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8F84-C530-419A-A555-6E28912884D7}">
  <dimension ref="A1:AK31"/>
  <sheetViews>
    <sheetView workbookViewId="0">
      <selection activeCell="I14" sqref="I14"/>
    </sheetView>
  </sheetViews>
  <sheetFormatPr defaultRowHeight="14.4"/>
  <cols>
    <col min="1" max="4" width="15.77734375" customWidth="1"/>
    <col min="7" max="7" width="19.21875" customWidth="1"/>
  </cols>
  <sheetData>
    <row r="1" spans="1:37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37" ht="18" customHeight="1">
      <c r="A2" s="2">
        <v>1001</v>
      </c>
      <c r="B2" s="2" t="s">
        <v>4</v>
      </c>
      <c r="C2" s="2" t="s">
        <v>5</v>
      </c>
      <c r="D2" s="2">
        <v>50000</v>
      </c>
      <c r="G2" t="str" cm="1">
        <f t="array" ref="G2:AK5">TRANSPOSE(A1:D31)</f>
        <v>Employee ID</v>
      </c>
      <c r="H2">
        <v>1001</v>
      </c>
      <c r="I2">
        <v>1002</v>
      </c>
      <c r="J2">
        <v>1003</v>
      </c>
      <c r="K2">
        <v>1004</v>
      </c>
      <c r="L2">
        <v>1005</v>
      </c>
      <c r="M2">
        <v>1006</v>
      </c>
      <c r="N2">
        <v>1007</v>
      </c>
      <c r="O2">
        <v>1008</v>
      </c>
      <c r="P2">
        <v>1009</v>
      </c>
      <c r="Q2">
        <v>1010</v>
      </c>
      <c r="R2">
        <v>1011</v>
      </c>
      <c r="S2">
        <v>1012</v>
      </c>
      <c r="T2">
        <v>1013</v>
      </c>
      <c r="U2">
        <v>1014</v>
      </c>
      <c r="V2">
        <v>1015</v>
      </c>
      <c r="W2">
        <v>1016</v>
      </c>
      <c r="X2">
        <v>1017</v>
      </c>
      <c r="Y2">
        <v>1018</v>
      </c>
      <c r="Z2">
        <v>1019</v>
      </c>
      <c r="AA2">
        <v>1020</v>
      </c>
      <c r="AB2">
        <v>1021</v>
      </c>
      <c r="AC2">
        <v>1022</v>
      </c>
      <c r="AD2">
        <v>1023</v>
      </c>
      <c r="AE2">
        <v>1024</v>
      </c>
      <c r="AF2">
        <v>1025</v>
      </c>
      <c r="AG2">
        <v>1026</v>
      </c>
      <c r="AH2">
        <v>1027</v>
      </c>
      <c r="AI2">
        <v>1028</v>
      </c>
      <c r="AJ2">
        <v>1029</v>
      </c>
      <c r="AK2">
        <v>1030</v>
      </c>
    </row>
    <row r="3" spans="1:37" ht="18" customHeight="1">
      <c r="A3" s="2">
        <v>1002</v>
      </c>
      <c r="B3" s="2" t="s">
        <v>6</v>
      </c>
      <c r="C3" s="2" t="s">
        <v>7</v>
      </c>
      <c r="D3" s="2">
        <v>60000</v>
      </c>
      <c r="G3" t="str">
        <v>Name</v>
      </c>
      <c r="H3" t="str">
        <v>John</v>
      </c>
      <c r="I3" t="str">
        <v>Jane</v>
      </c>
      <c r="J3" t="str">
        <v>Mark</v>
      </c>
      <c r="K3" t="str">
        <v>Emily</v>
      </c>
      <c r="L3" t="str">
        <v>Alex</v>
      </c>
      <c r="M3" t="str">
        <v>Sarah</v>
      </c>
      <c r="N3" t="str">
        <v>David</v>
      </c>
      <c r="O3" t="str">
        <v>Olivia</v>
      </c>
      <c r="P3" t="str">
        <v>Brian</v>
      </c>
      <c r="Q3" t="str">
        <v>Natalie</v>
      </c>
      <c r="R3" t="str">
        <v>Emma</v>
      </c>
      <c r="S3" t="str">
        <v>Lucas</v>
      </c>
      <c r="T3" t="str">
        <v>Grace</v>
      </c>
      <c r="U3" t="str">
        <v>Liam</v>
      </c>
      <c r="V3" t="str">
        <v>Zoe</v>
      </c>
      <c r="W3" t="str">
        <v>Mason</v>
      </c>
      <c r="X3" t="str">
        <v>Leo</v>
      </c>
      <c r="Y3" t="str">
        <v>Ava</v>
      </c>
      <c r="Z3" t="str">
        <v>Jake</v>
      </c>
      <c r="AA3" t="str">
        <v>Lily</v>
      </c>
      <c r="AB3" t="str">
        <v>Noah</v>
      </c>
      <c r="AC3" t="str">
        <v>Ethan</v>
      </c>
      <c r="AD3" t="str">
        <v>Amelia</v>
      </c>
      <c r="AE3" t="str">
        <v>Aiden</v>
      </c>
      <c r="AF3" t="str">
        <v>Ella</v>
      </c>
      <c r="AG3" t="str">
        <v>Ryan</v>
      </c>
      <c r="AH3" t="str">
        <v>Sophia</v>
      </c>
      <c r="AI3" t="str">
        <v>Chloe</v>
      </c>
      <c r="AJ3" t="str">
        <v>Ava</v>
      </c>
      <c r="AK3" t="str">
        <v>Jack</v>
      </c>
    </row>
    <row r="4" spans="1:37" ht="18" customHeight="1">
      <c r="A4" s="2">
        <v>1003</v>
      </c>
      <c r="B4" s="2" t="s">
        <v>8</v>
      </c>
      <c r="C4" s="2" t="s">
        <v>5</v>
      </c>
      <c r="D4" s="2">
        <v>55000</v>
      </c>
      <c r="G4" t="str">
        <v>Department</v>
      </c>
      <c r="H4" t="str">
        <v>HR</v>
      </c>
      <c r="I4" t="str">
        <v>Finance</v>
      </c>
      <c r="J4" t="str">
        <v>HR</v>
      </c>
      <c r="K4" t="str">
        <v>IT</v>
      </c>
      <c r="L4" t="str">
        <v>HR</v>
      </c>
      <c r="M4" t="str">
        <v>Marketing</v>
      </c>
      <c r="N4" t="str">
        <v>IT</v>
      </c>
      <c r="O4" t="str">
        <v>Finance</v>
      </c>
      <c r="P4" t="str">
        <v>HR</v>
      </c>
      <c r="Q4" t="str">
        <v>IT</v>
      </c>
      <c r="R4" t="str">
        <v>Marketing</v>
      </c>
      <c r="S4" t="str">
        <v>Finance</v>
      </c>
      <c r="T4" t="str">
        <v>HR</v>
      </c>
      <c r="U4" t="str">
        <v>IT</v>
      </c>
      <c r="V4" t="str">
        <v>Marketing</v>
      </c>
      <c r="W4" t="str">
        <v>HR</v>
      </c>
      <c r="X4" t="str">
        <v>Marketing</v>
      </c>
      <c r="Y4" t="str">
        <v>Finance</v>
      </c>
      <c r="Z4" t="str">
        <v>IT</v>
      </c>
      <c r="AA4" t="str">
        <v>Marketing</v>
      </c>
      <c r="AB4" t="str">
        <v>HR</v>
      </c>
      <c r="AC4" t="str">
        <v>IT</v>
      </c>
      <c r="AD4" t="str">
        <v>Finance</v>
      </c>
      <c r="AE4" t="str">
        <v>Marketing</v>
      </c>
      <c r="AF4" t="str">
        <v>HR</v>
      </c>
      <c r="AG4" t="str">
        <v>IT</v>
      </c>
      <c r="AH4" t="str">
        <v>HR</v>
      </c>
      <c r="AI4" t="str">
        <v>Finance</v>
      </c>
      <c r="AJ4" t="str">
        <v>Marketing</v>
      </c>
      <c r="AK4" t="str">
        <v>HR</v>
      </c>
    </row>
    <row r="5" spans="1:37" ht="18" customHeight="1">
      <c r="A5" s="2">
        <v>1004</v>
      </c>
      <c r="B5" s="2" t="s">
        <v>9</v>
      </c>
      <c r="C5" s="2" t="s">
        <v>10</v>
      </c>
      <c r="D5" s="2">
        <v>70000</v>
      </c>
      <c r="G5" t="str">
        <v>Salary</v>
      </c>
      <c r="H5">
        <v>50000</v>
      </c>
      <c r="I5">
        <v>60000</v>
      </c>
      <c r="J5">
        <v>55000</v>
      </c>
      <c r="K5">
        <v>70000</v>
      </c>
      <c r="L5">
        <v>49000</v>
      </c>
      <c r="M5">
        <v>65000</v>
      </c>
      <c r="N5">
        <v>75000</v>
      </c>
      <c r="O5">
        <v>68000</v>
      </c>
      <c r="P5">
        <v>51000</v>
      </c>
      <c r="Q5">
        <v>72000</v>
      </c>
      <c r="R5">
        <v>62000</v>
      </c>
      <c r="S5">
        <v>63000</v>
      </c>
      <c r="T5">
        <v>54000</v>
      </c>
      <c r="U5">
        <v>80000</v>
      </c>
      <c r="V5">
        <v>56000</v>
      </c>
      <c r="W5">
        <v>50000</v>
      </c>
      <c r="X5">
        <v>69000</v>
      </c>
      <c r="Y5">
        <v>60000</v>
      </c>
      <c r="Z5">
        <v>74000</v>
      </c>
      <c r="AA5">
        <v>55000</v>
      </c>
      <c r="AB5">
        <v>53000</v>
      </c>
      <c r="AC5">
        <v>77000</v>
      </c>
      <c r="AD5">
        <v>62000</v>
      </c>
      <c r="AE5">
        <v>64000</v>
      </c>
      <c r="AF5">
        <v>51000</v>
      </c>
      <c r="AG5">
        <v>69000</v>
      </c>
      <c r="AH5">
        <v>52000</v>
      </c>
      <c r="AI5">
        <v>68000</v>
      </c>
      <c r="AJ5">
        <v>63000</v>
      </c>
      <c r="AK5">
        <v>54000</v>
      </c>
    </row>
    <row r="6" spans="1:37" ht="18" customHeight="1">
      <c r="A6" s="2">
        <v>1005</v>
      </c>
      <c r="B6" s="2" t="s">
        <v>11</v>
      </c>
      <c r="C6" s="2" t="s">
        <v>5</v>
      </c>
      <c r="D6" s="2">
        <v>49000</v>
      </c>
    </row>
    <row r="7" spans="1:37" ht="18" customHeight="1">
      <c r="A7" s="2">
        <v>1006</v>
      </c>
      <c r="B7" s="2" t="s">
        <v>12</v>
      </c>
      <c r="C7" s="2" t="s">
        <v>13</v>
      </c>
      <c r="D7" s="2">
        <v>65000</v>
      </c>
    </row>
    <row r="8" spans="1:37" ht="18" customHeight="1">
      <c r="A8" s="2">
        <v>1007</v>
      </c>
      <c r="B8" s="2" t="s">
        <v>14</v>
      </c>
      <c r="C8" s="2" t="s">
        <v>10</v>
      </c>
      <c r="D8" s="2">
        <v>75000</v>
      </c>
    </row>
    <row r="9" spans="1:37" ht="18" customHeight="1">
      <c r="A9" s="2">
        <v>1008</v>
      </c>
      <c r="B9" s="2" t="s">
        <v>15</v>
      </c>
      <c r="C9" s="2" t="s">
        <v>7</v>
      </c>
      <c r="D9" s="2">
        <v>68000</v>
      </c>
    </row>
    <row r="10" spans="1:37" ht="18" customHeight="1">
      <c r="A10" s="2">
        <v>1009</v>
      </c>
      <c r="B10" s="2" t="s">
        <v>16</v>
      </c>
      <c r="C10" s="2" t="s">
        <v>5</v>
      </c>
      <c r="D10" s="2">
        <v>51000</v>
      </c>
    </row>
    <row r="11" spans="1:37" ht="18" customHeight="1">
      <c r="A11" s="2">
        <v>1010</v>
      </c>
      <c r="B11" s="2" t="s">
        <v>17</v>
      </c>
      <c r="C11" s="2" t="s">
        <v>10</v>
      </c>
      <c r="D11" s="2">
        <v>72000</v>
      </c>
    </row>
    <row r="12" spans="1:37" ht="18" customHeight="1">
      <c r="A12" s="2">
        <v>1011</v>
      </c>
      <c r="B12" s="2" t="s">
        <v>18</v>
      </c>
      <c r="C12" s="2" t="s">
        <v>13</v>
      </c>
      <c r="D12" s="2">
        <v>62000</v>
      </c>
    </row>
    <row r="13" spans="1:37" ht="18" customHeight="1">
      <c r="A13" s="2">
        <v>1012</v>
      </c>
      <c r="B13" s="2" t="s">
        <v>19</v>
      </c>
      <c r="C13" s="2" t="s">
        <v>7</v>
      </c>
      <c r="D13" s="2">
        <v>63000</v>
      </c>
    </row>
    <row r="14" spans="1:37" ht="18" customHeight="1">
      <c r="A14" s="2">
        <v>1013</v>
      </c>
      <c r="B14" s="2" t="s">
        <v>20</v>
      </c>
      <c r="C14" s="2" t="s">
        <v>5</v>
      </c>
      <c r="D14" s="2">
        <v>54000</v>
      </c>
    </row>
    <row r="15" spans="1:37" ht="18" customHeight="1">
      <c r="A15" s="2">
        <v>1014</v>
      </c>
      <c r="B15" s="2" t="s">
        <v>21</v>
      </c>
      <c r="C15" s="2" t="s">
        <v>10</v>
      </c>
      <c r="D15" s="2">
        <v>80000</v>
      </c>
    </row>
    <row r="16" spans="1:37" ht="18" customHeight="1">
      <c r="A16" s="2">
        <v>1015</v>
      </c>
      <c r="B16" s="2" t="s">
        <v>22</v>
      </c>
      <c r="C16" s="2" t="s">
        <v>13</v>
      </c>
      <c r="D16" s="2">
        <v>56000</v>
      </c>
    </row>
    <row r="17" spans="1:4" ht="18" customHeight="1">
      <c r="A17" s="2">
        <v>1016</v>
      </c>
      <c r="B17" s="2" t="s">
        <v>23</v>
      </c>
      <c r="C17" s="2" t="s">
        <v>5</v>
      </c>
      <c r="D17" s="2">
        <v>50000</v>
      </c>
    </row>
    <row r="18" spans="1:4" ht="18" customHeight="1">
      <c r="A18" s="2">
        <v>1017</v>
      </c>
      <c r="B18" s="2" t="s">
        <v>24</v>
      </c>
      <c r="C18" s="2" t="s">
        <v>13</v>
      </c>
      <c r="D18" s="2">
        <v>69000</v>
      </c>
    </row>
    <row r="19" spans="1:4" ht="18" customHeight="1">
      <c r="A19" s="2">
        <v>1018</v>
      </c>
      <c r="B19" s="2" t="s">
        <v>25</v>
      </c>
      <c r="C19" s="2" t="s">
        <v>7</v>
      </c>
      <c r="D19" s="2">
        <v>60000</v>
      </c>
    </row>
    <row r="20" spans="1:4" ht="18" customHeight="1">
      <c r="A20" s="2">
        <v>1019</v>
      </c>
      <c r="B20" s="2" t="s">
        <v>26</v>
      </c>
      <c r="C20" s="2" t="s">
        <v>10</v>
      </c>
      <c r="D20" s="2">
        <v>74000</v>
      </c>
    </row>
    <row r="21" spans="1:4" ht="18" customHeight="1">
      <c r="A21" s="2">
        <v>1020</v>
      </c>
      <c r="B21" s="2" t="s">
        <v>27</v>
      </c>
      <c r="C21" s="2" t="s">
        <v>13</v>
      </c>
      <c r="D21" s="2">
        <v>55000</v>
      </c>
    </row>
    <row r="22" spans="1:4" ht="18" customHeight="1">
      <c r="A22" s="2">
        <v>1021</v>
      </c>
      <c r="B22" s="2" t="s">
        <v>28</v>
      </c>
      <c r="C22" s="2" t="s">
        <v>5</v>
      </c>
      <c r="D22" s="2">
        <v>53000</v>
      </c>
    </row>
    <row r="23" spans="1:4" ht="18" customHeight="1">
      <c r="A23" s="2">
        <v>1022</v>
      </c>
      <c r="B23" s="2" t="s">
        <v>29</v>
      </c>
      <c r="C23" s="2" t="s">
        <v>10</v>
      </c>
      <c r="D23" s="2">
        <v>77000</v>
      </c>
    </row>
    <row r="24" spans="1:4" ht="18" customHeight="1">
      <c r="A24" s="2">
        <v>1023</v>
      </c>
      <c r="B24" s="2" t="s">
        <v>30</v>
      </c>
      <c r="C24" s="2" t="s">
        <v>7</v>
      </c>
      <c r="D24" s="2">
        <v>62000</v>
      </c>
    </row>
    <row r="25" spans="1:4" ht="18" customHeight="1">
      <c r="A25" s="2">
        <v>1024</v>
      </c>
      <c r="B25" s="2" t="s">
        <v>31</v>
      </c>
      <c r="C25" s="2" t="s">
        <v>13</v>
      </c>
      <c r="D25" s="2">
        <v>64000</v>
      </c>
    </row>
    <row r="26" spans="1:4" ht="18" customHeight="1">
      <c r="A26" s="2">
        <v>1025</v>
      </c>
      <c r="B26" s="2" t="s">
        <v>32</v>
      </c>
      <c r="C26" s="2" t="s">
        <v>5</v>
      </c>
      <c r="D26" s="2">
        <v>51000</v>
      </c>
    </row>
    <row r="27" spans="1:4" ht="18" customHeight="1">
      <c r="A27" s="2">
        <v>1026</v>
      </c>
      <c r="B27" s="2" t="s">
        <v>33</v>
      </c>
      <c r="C27" s="2" t="s">
        <v>10</v>
      </c>
      <c r="D27" s="2">
        <v>69000</v>
      </c>
    </row>
    <row r="28" spans="1:4" ht="18" customHeight="1">
      <c r="A28" s="2">
        <v>1027</v>
      </c>
      <c r="B28" s="2" t="s">
        <v>34</v>
      </c>
      <c r="C28" s="2" t="s">
        <v>5</v>
      </c>
      <c r="D28" s="2">
        <v>52000</v>
      </c>
    </row>
    <row r="29" spans="1:4" ht="18" customHeight="1">
      <c r="A29" s="2">
        <v>1028</v>
      </c>
      <c r="B29" s="2" t="s">
        <v>35</v>
      </c>
      <c r="C29" s="2" t="s">
        <v>7</v>
      </c>
      <c r="D29" s="2">
        <v>68000</v>
      </c>
    </row>
    <row r="30" spans="1:4" ht="18" customHeight="1">
      <c r="A30" s="2">
        <v>1029</v>
      </c>
      <c r="B30" s="2" t="s">
        <v>25</v>
      </c>
      <c r="C30" s="2" t="s">
        <v>13</v>
      </c>
      <c r="D30" s="2">
        <v>63000</v>
      </c>
    </row>
    <row r="31" spans="1:4" ht="18" customHeight="1">
      <c r="A31" s="2">
        <v>1030</v>
      </c>
      <c r="B31" s="2" t="s">
        <v>36</v>
      </c>
      <c r="C31" s="2" t="s">
        <v>5</v>
      </c>
      <c r="D31" s="2">
        <v>54000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999E-92CE-4766-B230-EDEA9373C67F}">
  <dimension ref="A1:B5"/>
  <sheetViews>
    <sheetView workbookViewId="0">
      <selection activeCell="C17" sqref="C17"/>
    </sheetView>
  </sheetViews>
  <sheetFormatPr defaultRowHeight="14.4"/>
  <cols>
    <col min="1" max="2" width="15.77734375" customWidth="1"/>
  </cols>
  <sheetData>
    <row r="1" spans="1:2" ht="18" customHeight="1">
      <c r="A1" s="1" t="s">
        <v>2</v>
      </c>
      <c r="B1" s="1" t="s">
        <v>37</v>
      </c>
    </row>
    <row r="2" spans="1:2" ht="18" customHeight="1">
      <c r="A2" s="2" t="s">
        <v>5</v>
      </c>
      <c r="B2" s="2">
        <v>120000</v>
      </c>
    </row>
    <row r="3" spans="1:2" ht="18" customHeight="1">
      <c r="A3" s="2" t="s">
        <v>7</v>
      </c>
      <c r="B3" s="2">
        <v>200000</v>
      </c>
    </row>
    <row r="4" spans="1:2" ht="18" customHeight="1">
      <c r="A4" s="2" t="s">
        <v>10</v>
      </c>
      <c r="B4" s="2">
        <v>250000</v>
      </c>
    </row>
    <row r="5" spans="1:2" ht="18" customHeight="1">
      <c r="A5" s="2" t="s">
        <v>13</v>
      </c>
      <c r="B5" s="2"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612-999C-42BA-8255-2EF14889AC36}">
  <dimension ref="A1:M10"/>
  <sheetViews>
    <sheetView tabSelected="1" workbookViewId="0">
      <selection activeCell="G19" sqref="G19"/>
    </sheetView>
  </sheetViews>
  <sheetFormatPr defaultRowHeight="14.4"/>
  <sheetData>
    <row r="1" spans="1:13">
      <c r="A1" t="s">
        <v>38</v>
      </c>
      <c r="G1" s="3">
        <f>VLOOKUP(data1!A5,data1!A:D,4,0)</f>
        <v>70000</v>
      </c>
    </row>
    <row r="2" spans="1:13">
      <c r="A2" t="s">
        <v>39</v>
      </c>
      <c r="G2" s="3">
        <f>VLOOKUP(data1!A4,data1!A:D,4,0)</f>
        <v>55000</v>
      </c>
    </row>
    <row r="3" spans="1:13">
      <c r="A3" t="s">
        <v>40</v>
      </c>
    </row>
    <row r="4" spans="1:13">
      <c r="A4" t="s">
        <v>41</v>
      </c>
      <c r="J4" s="3">
        <f>IFERROR(VLOOKUP(data1!A28,data1!A:E,4),"Not Found")</f>
        <v>52000</v>
      </c>
    </row>
    <row r="5" spans="1:13">
      <c r="A5" t="s">
        <v>42</v>
      </c>
      <c r="G5" s="3">
        <f>HLOOKUP(data1!I2,data1!G2:AM5,4,0)</f>
        <v>60000</v>
      </c>
    </row>
    <row r="6" spans="1:13">
      <c r="A6" t="s">
        <v>43</v>
      </c>
      <c r="H6" s="3" t="str">
        <f>HLOOKUP(data1!AG2,_xlfn.ANCHORARRAY(data1!G2),3,0)</f>
        <v>IT</v>
      </c>
    </row>
    <row r="7" spans="1:13">
      <c r="A7" t="s">
        <v>44</v>
      </c>
      <c r="J7" s="3">
        <f>IFERROR(HLOOKUP(data1!AH2,_xlfn.ANCHORARRAY(data1!G2),4,0),"Notfound")</f>
        <v>52000</v>
      </c>
    </row>
    <row r="8" spans="1:13">
      <c r="A8" t="s">
        <v>45</v>
      </c>
      <c r="I8" s="3">
        <f>INDEX(data1!D:D,MATCH(data1!A11,data1!A:A,0))</f>
        <v>72000</v>
      </c>
    </row>
    <row r="9" spans="1:13">
      <c r="A9" t="s">
        <v>46</v>
      </c>
      <c r="M9" s="3">
        <f>INDEX(data1!D:D,MATCH(data1!A25,data1!A:A,0))</f>
        <v>64000</v>
      </c>
    </row>
    <row r="10" spans="1:13">
      <c r="A10" t="s">
        <v>47</v>
      </c>
      <c r="J10" s="3" t="str">
        <f>INDEX(data1!C:C,MATCH(data1!A19,data1!A:A,0))</f>
        <v>Finance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data2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patil</dc:creator>
  <cp:lastModifiedBy>abhimanyunallakkandy@gmail.com</cp:lastModifiedBy>
  <dcterms:created xsi:type="dcterms:W3CDTF">2024-12-30T06:52:03Z</dcterms:created>
  <dcterms:modified xsi:type="dcterms:W3CDTF">2025-12-15T06:55:09Z</dcterms:modified>
</cp:coreProperties>
</file>